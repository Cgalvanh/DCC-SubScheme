
<file path=[Content_Types].xml><?xml version="1.0" encoding="utf-8"?>
<Types xmlns="http://schemas.openxmlformats.org/package/2006/content-types">
  <Default Extension="bin" ContentType="application/vnd.openxmlformats-officedocument.spreadsheetml.printerSettings"/>
  <Default Extension="emf" ContentType="image/x-emf"/>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drawings/drawing1.xml" ContentType="application/vnd.openxmlformats-officedocument.drawing+xml"/>
  <Override PartName="/xl/tables/tableSingleCells1.xml" ContentType="application/vnd.openxmlformats-officedocument.spreadsheetml.tableSingleCells+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tables/table4.xml" ContentType="application/vnd.openxmlformats-officedocument.spreadsheetml.table+xml"/>
  <Override PartName="/xl/tables/table5.xml" ContentType="application/vnd.openxmlformats-officedocument.spreadsheetml.table+xml"/>
  <Override PartName="/xl/tables/table6.xml" ContentType="application/vnd.openxmlformats-officedocument.spreadsheetml.table+xml"/>
  <Override PartName="/xl/drawings/drawing2.xml" ContentType="application/vnd.openxmlformats-officedocument.drawing+xml"/>
  <Override PartName="/xl/tables/table7.xml" ContentType="application/vnd.openxmlformats-officedocument.spreadsheetml.table+xml"/>
  <Override PartName="/xl/tables/table8.xml" ContentType="application/vnd.openxmlformats-officedocument.spreadsheetml.table+xml"/>
  <Override PartName="/xl/tables/table9.xml" ContentType="application/vnd.openxmlformats-officedocument.spreadsheetml.table+xml"/>
  <Override PartName="/xl/tables/table10.xml" ContentType="application/vnd.openxmlformats-officedocument.spreadsheetml.table+xml"/>
  <Override PartName="/xl/tables/table11.xml" ContentType="application/vnd.openxmlformats-officedocument.spreadsheetml.table+xml"/>
  <Override PartName="/xl/tables/table12.xml" ContentType="application/vnd.openxmlformats-officedocument.spreadsheetml.table+xml"/>
  <Override PartName="/xl/tables/table13.xml" ContentType="application/vnd.openxmlformats-officedocument.spreadsheetml.table+xml"/>
  <Override PartName="/xl/tables/table14.xml" ContentType="application/vnd.openxmlformats-officedocument.spreadsheetml.table+xml"/>
  <Override PartName="/xl/tables/table15.xml" ContentType="application/vnd.openxmlformats-officedocument.spreadsheetml.table+xml"/>
  <Override PartName="/xl/tables/table16.xml" ContentType="application/vnd.openxmlformats-officedocument.spreadsheetml.table+xml"/>
  <Override PartName="/xl/tables/table17.xml" ContentType="application/vnd.openxmlformats-officedocument.spreadsheetml.table+xml"/>
  <Override PartName="/xl/tables/table18.xml" ContentType="application/vnd.openxmlformats-officedocument.spreadsheetml.table+xml"/>
  <Override PartName="/xl/tables/table19.xml" ContentType="application/vnd.openxmlformats-officedocument.spreadsheetml.table+xml"/>
  <Override PartName="/xl/tables/table20.xml" ContentType="application/vnd.openxmlformats-officedocument.spreadsheetml.table+xml"/>
  <Override PartName="/xl/tables/table21.xml" ContentType="application/vnd.openxmlformats-officedocument.spreadsheetml.table+xml"/>
  <Override PartName="/xl/tables/table22.xml" ContentType="application/vnd.openxmlformats-officedocument.spreadsheetml.table+xml"/>
  <Override PartName="/xl/tables/table23.xml" ContentType="application/vnd.openxmlformats-officedocument.spreadsheetml.table+xml"/>
  <Override PartName="/xl/tables/table24.xml" ContentType="application/vnd.openxmlformats-officedocument.spreadsheetml.table+xml"/>
  <Override PartName="/xl/tables/table25.xml" ContentType="application/vnd.openxmlformats-officedocument.spreadsheetml.table+xml"/>
  <Override PartName="/xl/tables/table26.xml" ContentType="application/vnd.openxmlformats-officedocument.spreadsheetml.table+xml"/>
  <Override PartName="/xl/tables/table27.xml" ContentType="application/vnd.openxmlformats-officedocument.spreadsheetml.table+xml"/>
  <Override PartName="/xl/tables/table28.xml" ContentType="application/vnd.openxmlformats-officedocument.spreadsheetml.table+xml"/>
  <Override PartName="/xl/tables/table29.xml" ContentType="application/vnd.openxmlformats-officedocument.spreadsheetml.table+xml"/>
  <Override PartName="/xl/tables/table30.xml" ContentType="application/vnd.openxmlformats-officedocument.spreadsheetml.table+xml"/>
  <Override PartName="/xl/tables/table31.xml" ContentType="application/vnd.openxmlformats-officedocument.spreadsheetml.table+xml"/>
  <Override PartName="/xl/tables/table32.xml" ContentType="application/vnd.openxmlformats-officedocument.spreadsheetml.table+xml"/>
  <Override PartName="/xl/tables/table33.xml" ContentType="application/vnd.openxmlformats-officedocument.spreadsheetml.table+xml"/>
  <Override PartName="/xl/tables/table34.xml" ContentType="application/vnd.openxmlformats-officedocument.spreadsheetml.table+xml"/>
  <Override PartName="/xl/tables/table35.xml" ContentType="application/vnd.openxmlformats-officedocument.spreadsheetml.table+xml"/>
  <Override PartName="/xl/tables/table36.xml" ContentType="application/vnd.openxmlformats-officedocument.spreadsheetml.table+xml"/>
  <Override PartName="/xl/tables/table37.xml" ContentType="application/vnd.openxmlformats-officedocument.spreadsheetml.table+xml"/>
  <Override PartName="/xl/tables/table38.xml" ContentType="application/vnd.openxmlformats-officedocument.spreadsheetml.table+xml"/>
  <Override PartName="/xl/tables/table39.xml" ContentType="application/vnd.openxmlformats-officedocument.spreadsheetml.table+xml"/>
  <Override PartName="/xl/tables/table40.xml" ContentType="application/vnd.openxmlformats-officedocument.spreadsheetml.table+xml"/>
  <Override PartName="/xl/tables/table41.xml" ContentType="application/vnd.openxmlformats-officedocument.spreadsheetml.table+xml"/>
  <Override PartName="/xl/tables/table42.xml" ContentType="application/vnd.openxmlformats-officedocument.spreadsheetml.table+xml"/>
  <Override PartName="/xl/tables/table43.xml" ContentType="application/vnd.openxmlformats-officedocument.spreadsheetml.table+xml"/>
  <Override PartName="/xl/tables/table44.xml" ContentType="application/vnd.openxmlformats-officedocument.spreadsheetml.table+xml"/>
  <Override PartName="/xl/tables/table45.xml" ContentType="application/vnd.openxmlformats-officedocument.spreadsheetml.table+xml"/>
  <Override PartName="/xl/tables/table46.xml" ContentType="application/vnd.openxmlformats-officedocument.spreadsheetml.table+xml"/>
  <Override PartName="/xl/tables/table47.xml" ContentType="application/vnd.openxmlformats-officedocument.spreadsheetml.table+xml"/>
  <Override PartName="/xl/tables/table48.xml" ContentType="application/vnd.openxmlformats-officedocument.spreadsheetml.table+xml"/>
  <Override PartName="/xl/tables/table49.xml" ContentType="application/vnd.openxmlformats-officedocument.spreadsheetml.table+xml"/>
  <Override PartName="/xl/tables/table50.xml" ContentType="application/vnd.openxmlformats-officedocument.spreadsheetml.table+xml"/>
  <Override PartName="/xl/drawings/drawing3.xml" ContentType="application/vnd.openxmlformats-officedocument.drawing+xml"/>
  <Override PartName="/xl/tables/tableSingleCells2.xml" ContentType="application/vnd.openxmlformats-officedocument.spreadsheetml.tableSingleCells+xml"/>
  <Override PartName="/xl/tables/table51.xml" ContentType="application/vnd.openxmlformats-officedocument.spreadsheetml.table+xml"/>
  <Override PartName="/xl/tables/table52.xml" ContentType="application/vnd.openxmlformats-officedocument.spreadsheetml.table+xml"/>
  <Override PartName="/xl/tables/table53.xml" ContentType="application/vnd.openxmlformats-officedocument.spreadsheetml.table+xml"/>
  <Override PartName="/xl/tables/table54.xml" ContentType="application/vnd.openxmlformats-officedocument.spreadsheetml.table+xml"/>
  <Override PartName="/xl/tables/table55.xml" ContentType="application/vnd.openxmlformats-officedocument.spreadsheetml.table+xml"/>
  <Override PartName="/xl/tables/table56.xml" ContentType="application/vnd.openxmlformats-officedocument.spreadsheetml.table+xml"/>
  <Override PartName="/xl/tables/table57.xml" ContentType="application/vnd.openxmlformats-officedocument.spreadsheetml.table+xml"/>
  <Override PartName="/xl/tables/table58.xml" ContentType="application/vnd.openxmlformats-officedocument.spreadsheetml.table+xml"/>
  <Override PartName="/xl/tables/table59.xml" ContentType="application/vnd.openxmlformats-officedocument.spreadsheetml.table+xml"/>
  <Override PartName="/xl/tables/table60.xml" ContentType="application/vnd.openxmlformats-officedocument.spreadsheetml.table+xml"/>
  <Override PartName="/xl/tables/table61.xml" ContentType="application/vnd.openxmlformats-officedocument.spreadsheetml.table+xml"/>
  <Override PartName="/xl/tables/table62.xml" ContentType="application/vnd.openxmlformats-officedocument.spreadsheetml.table+xml"/>
  <Override PartName="/xl/tables/table63.xml" ContentType="application/vnd.openxmlformats-officedocument.spreadsheetml.table+xml"/>
  <Override PartName="/xl/tables/table64.xml" ContentType="application/vnd.openxmlformats-officedocument.spreadsheetml.table+xml"/>
  <Override PartName="/xl/tables/table65.xml" ContentType="application/vnd.openxmlformats-officedocument.spreadsheetml.table+xml"/>
  <Override PartName="/xl/tables/table66.xml" ContentType="application/vnd.openxmlformats-officedocument.spreadsheetml.table+xml"/>
  <Override PartName="/xl/tables/table67.xml" ContentType="application/vnd.openxmlformats-officedocument.spreadsheetml.table+xml"/>
  <Override PartName="/xl/tables/table68.xml" ContentType="application/vnd.openxmlformats-officedocument.spreadsheetml.table+xml"/>
  <Override PartName="/xl/tables/table69.xml" ContentType="application/vnd.openxmlformats-officedocument.spreadsheetml.table+xml"/>
  <Override PartName="/xl/tables/table70.xml" ContentType="application/vnd.openxmlformats-officedocument.spreadsheetml.table+xml"/>
  <Override PartName="/xl/tables/table71.xml" ContentType="application/vnd.openxmlformats-officedocument.spreadsheetml.table+xml"/>
  <Override PartName="/xl/tables/table72.xml" ContentType="application/vnd.openxmlformats-officedocument.spreadsheetml.table+xml"/>
  <Override PartName="/xl/tables/table73.xml" ContentType="application/vnd.openxmlformats-officedocument.spreadsheetml.table+xml"/>
  <Override PartName="/xl/tables/table74.xml" ContentType="application/vnd.openxmlformats-officedocument.spreadsheetml.table+xml"/>
  <Override PartName="/xl/tables/table75.xml" ContentType="application/vnd.openxmlformats-officedocument.spreadsheetml.table+xml"/>
  <Override PartName="/xl/tables/table76.xml" ContentType="application/vnd.openxmlformats-officedocument.spreadsheetml.table+xml"/>
  <Override PartName="/xl/tables/table77.xml" ContentType="application/vnd.openxmlformats-officedocument.spreadsheetml.table+xml"/>
  <Override PartName="/xl/drawings/drawing4.xml" ContentType="application/vnd.openxmlformats-officedocument.drawing+xml"/>
  <Override PartName="/xl/tables/tableSingleCells3.xml" ContentType="application/vnd.openxmlformats-officedocument.spreadsheetml.tableSingleCells+xml"/>
  <Override PartName="/xl/tables/table78.xml" ContentType="application/vnd.openxmlformats-officedocument.spreadsheetml.table+xml"/>
  <Override PartName="/xl/tables/table79.xml" ContentType="application/vnd.openxmlformats-officedocument.spreadsheetml.table+xml"/>
  <Override PartName="/xl/tables/table80.xml" ContentType="application/vnd.openxmlformats-officedocument.spreadsheetml.table+xml"/>
  <Override PartName="/xl/tables/table81.xml" ContentType="application/vnd.openxmlformats-officedocument.spreadsheetml.table+xml"/>
  <Override PartName="/xl/tables/table82.xml" ContentType="application/vnd.openxmlformats-officedocument.spreadsheetml.table+xml"/>
  <Override PartName="/xl/tables/table83.xml" ContentType="application/vnd.openxmlformats-officedocument.spreadsheetml.table+xml"/>
  <Override PartName="/xl/tables/table84.xml" ContentType="application/vnd.openxmlformats-officedocument.spreadsheetml.table+xml"/>
  <Override PartName="/xl/tables/table85.xml" ContentType="application/vnd.openxmlformats-officedocument.spreadsheetml.table+xml"/>
  <Override PartName="/xl/tables/table86.xml" ContentType="application/vnd.openxmlformats-officedocument.spreadsheetml.table+xml"/>
  <Override PartName="/xl/tables/table87.xml" ContentType="application/vnd.openxmlformats-officedocument.spreadsheetml.table+xml"/>
  <Override PartName="/xl/tables/table88.xml" ContentType="application/vnd.openxmlformats-officedocument.spreadsheetml.table+xml"/>
  <Override PartName="/xl/tables/table89.xml" ContentType="application/vnd.openxmlformats-officedocument.spreadsheetml.table+xml"/>
  <Override PartName="/xl/tables/table90.xml" ContentType="application/vnd.openxmlformats-officedocument.spreadsheetml.table+xml"/>
  <Override PartName="/xl/tables/table91.xml" ContentType="application/vnd.openxmlformats-officedocument.spreadsheetml.table+xml"/>
  <Override PartName="/xl/tables/table92.xml" ContentType="application/vnd.openxmlformats-officedocument.spreadsheetml.table+xml"/>
  <Override PartName="/xl/tables/table93.xml" ContentType="application/vnd.openxmlformats-officedocument.spreadsheetml.table+xml"/>
  <Override PartName="/xl/tables/table94.xml" ContentType="application/vnd.openxmlformats-officedocument.spreadsheetml.table+xml"/>
  <Override PartName="/xl/tables/table95.xml" ContentType="application/vnd.openxmlformats-officedocument.spreadsheetml.table+xml"/>
  <Override PartName="/xl/tables/table96.xml" ContentType="application/vnd.openxmlformats-officedocument.spreadsheetml.table+xml"/>
  <Override PartName="/xl/tables/table97.xml" ContentType="application/vnd.openxmlformats-officedocument.spreadsheetml.table+xml"/>
  <Override PartName="/xl/tables/table98.xml" ContentType="application/vnd.openxmlformats-officedocument.spreadsheetml.table+xml"/>
  <Override PartName="/xl/tables/table99.xml" ContentType="application/vnd.openxmlformats-officedocument.spreadsheetml.table+xml"/>
  <Override PartName="/xl/tables/table100.xml" ContentType="application/vnd.openxmlformats-officedocument.spreadsheetml.table+xml"/>
  <Override PartName="/xl/tables/table101.xml" ContentType="application/vnd.openxmlformats-officedocument.spreadsheetml.table+xml"/>
  <Override PartName="/xl/tables/table102.xml" ContentType="application/vnd.openxmlformats-officedocument.spreadsheetml.table+xml"/>
  <Override PartName="/xl/tables/table103.xml" ContentType="application/vnd.openxmlformats-officedocument.spreadsheetml.table+xml"/>
  <Override PartName="/xl/tables/table104.xml" ContentType="application/vnd.openxmlformats-officedocument.spreadsheetml.table+xml"/>
  <Override PartName="/xl/tables/table105.xml" ContentType="application/vnd.openxmlformats-officedocument.spreadsheetml.table+xml"/>
  <Override PartName="/xl/tables/table106.xml" ContentType="application/vnd.openxmlformats-officedocument.spreadsheetml.table+xml"/>
  <Override PartName="/xl/tables/table107.xml" ContentType="application/vnd.openxmlformats-officedocument.spreadsheetml.table+xml"/>
  <Override PartName="/xl/drawings/drawing5.xml" ContentType="application/vnd.openxmlformats-officedocument.drawing+xml"/>
  <Override PartName="/xl/activeX/activeX1.xml" ContentType="application/vnd.ms-office.activeX+xml"/>
  <Override PartName="/xl/activeX/activeX1.bin" ContentType="application/vnd.ms-office.activeX"/>
  <Override PartName="/xl/tables/table108.xml" ContentType="application/vnd.openxmlformats-officedocument.spreadsheetml.table+xml"/>
  <Override PartName="/xl/tables/table109.xml" ContentType="application/vnd.openxmlformats-officedocument.spreadsheetml.table+xml"/>
  <Override PartName="/xl/tables/table110.xml" ContentType="application/vnd.openxmlformats-officedocument.spreadsheetml.table+xml"/>
  <Override PartName="/xl/tables/table111.xml" ContentType="application/vnd.openxmlformats-officedocument.spreadsheetml.table+xml"/>
  <Override PartName="/xl/tables/table112.xml" ContentType="application/vnd.openxmlformats-officedocument.spreadsheetml.table+xml"/>
  <Override PartName="/xl/tables/table113.xml" ContentType="application/vnd.openxmlformats-officedocument.spreadsheetml.table+xml"/>
  <Override PartName="/xl/tables/table114.xml" ContentType="application/vnd.openxmlformats-officedocument.spreadsheetml.table+xml"/>
  <Override PartName="/xl/tables/table115.xml" ContentType="application/vnd.openxmlformats-officedocument.spreadsheetml.table+xml"/>
  <Override PartName="/xl/tables/table116.xml" ContentType="application/vnd.openxmlformats-officedocument.spreadsheetml.table+xml"/>
  <Override PartName="/xl/tables/table117.xml" ContentType="application/vnd.openxmlformats-officedocument.spreadsheetml.table+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5" Type="http://schemas.openxmlformats.org/officeDocument/2006/relationships/custom-properties" Target="docProps/custom.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7928" codeName="{372AB895-14C1-FC20-EB20-F1B4BCFD95AE}"/>
  <workbookPr codeName="ThisWorkbook"/>
  <mc:AlternateContent xmlns:mc="http://schemas.openxmlformats.org/markup-compatibility/2006">
    <mc:Choice Requires="x15">
      <x15ac:absPath xmlns:x15ac="http://schemas.microsoft.com/office/spreadsheetml/2010/11/ac" url="https://cenammx.sharepoint.com/sites/Excel2XML/Documentos compartidos/General/PTB Siegfried/"/>
    </mc:Choice>
  </mc:AlternateContent>
  <xr:revisionPtr revIDLastSave="1664" documentId="8_{267DD873-46B9-4169-A055-CDB4C0EC033C}" xr6:coauthVersionLast="47" xr6:coauthVersionMax="47" xr10:uidLastSave="{94A8B46E-CE31-425A-A9BD-059B0333360F}"/>
  <bookViews>
    <workbookView xWindow="-28920" yWindow="1605" windowWidth="29040" windowHeight="15720" activeTab="1" xr2:uid="{00000000-000D-0000-FFFF-FFFF00000000}"/>
  </bookViews>
  <sheets>
    <sheet name="UsedMethods" sheetId="6" r:id="rId1"/>
    <sheet name="measuringEquipments" sheetId="10" r:id="rId2"/>
    <sheet name="influenceConditions" sheetId="11" r:id="rId3"/>
    <sheet name="results" sheetId="8" r:id="rId4"/>
    <sheet name="PTB" sheetId="12" r:id="rId5"/>
    <sheet name="Tablas" sheetId="7" r:id="rId6"/>
  </sheets>
  <definedNames>
    <definedName name="Base">Table2226[SI_base]</definedName>
    <definedName name="base_platino">Table2226[base_platino]</definedName>
    <definedName name="Derived">Tablas!$E$3:$E$25</definedName>
    <definedName name="derived_platino">Tablas!$H$3:$H$25</definedName>
    <definedName name="ISSUER">Tablas!$B$9:$B$13</definedName>
    <definedName name="non_SI">Table2226[non_SI]</definedName>
    <definedName name="non_SI_Platino">Tablas!$I$3:$I$25</definedName>
    <definedName name="TipoUnidad">Tablas!$B$3:$B$5</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ARRAYTEXT_WF"/>
      </xcalcf:calcFeatures>
    </ext>
  </extLst>
</workbook>
</file>

<file path=xl/calcChain.xml><?xml version="1.0" encoding="utf-8"?>
<calcChain xmlns="http://schemas.openxmlformats.org/spreadsheetml/2006/main">
  <c r="N9" i="7" l="1"/>
  <c r="P29" i="10" a="1"/>
  <c r="J71" i="11" a="1"/>
  <c r="P124" i="10" a="1"/>
  <c r="J44" i="11" a="1"/>
  <c r="P99" i="10" a="1"/>
  <c r="P76" i="10" a="1"/>
  <c r="J98" i="11" a="1"/>
  <c r="L127" i="11" a="1"/>
  <c r="P77" i="10" a="1"/>
  <c r="H28" i="8" a="1"/>
  <c r="P150" i="10" a="1"/>
  <c r="P100" i="10" a="1"/>
  <c r="L126" i="11" a="1"/>
  <c r="H96" i="8" a="1"/>
  <c r="P123" i="10" a="1"/>
  <c r="P151" i="10" a="1"/>
  <c r="N8" i="7" a="1"/>
  <c r="P28" i="10" a="1"/>
  <c r="H63" i="8" a="1"/>
  <c r="H107" i="8" a="1"/>
  <c r="J17" i="11" a="1"/>
  <c r="H55" i="8" a="1"/>
  <c r="H39" i="8" a="1"/>
  <c r="H72" i="8" a="1"/>
  <c r="H54" i="8" a="1"/>
  <c r="N8" i="7" l="1"/>
  <c r="H55" i="8"/>
  <c r="J71" i="11"/>
  <c r="J98" i="11"/>
  <c r="L127" i="11"/>
  <c r="L126" i="11"/>
  <c r="J44" i="11"/>
  <c r="H96" i="8"/>
  <c r="H107" i="8"/>
  <c r="H72" i="8"/>
  <c r="H63" i="8"/>
  <c r="H54" i="8"/>
  <c r="H39" i="8"/>
  <c r="P123" i="10"/>
  <c r="P124" i="10"/>
  <c r="H28" i="8"/>
  <c r="P151" i="10"/>
  <c r="P77" i="10"/>
  <c r="P99" i="10"/>
  <c r="P100" i="10"/>
  <c r="P28" i="10"/>
  <c r="P29" i="10"/>
  <c r="P150" i="10"/>
  <c r="P76" i="10"/>
  <c r="J17" i="11"/>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<sst xmlns="http://schemas.openxmlformats.org/spreadsheetml/2006/main" count="1274" uniqueCount="354">
  <si>
    <t>Nombre</t>
  </si>
  <si>
    <t>Idioma</t>
  </si>
  <si>
    <t>SI prefixes</t>
  </si>
  <si>
    <t>ISSUER</t>
  </si>
  <si>
    <t>Derived</t>
  </si>
  <si>
    <t>prefix</t>
  </si>
  <si>
    <t>value</t>
  </si>
  <si>
    <t>\metre</t>
  </si>
  <si>
    <t>becquerel</t>
  </si>
  <si>
    <t>yotta</t>
  </si>
  <si>
    <t>calibrationLaboratory</t>
  </si>
  <si>
    <t>\mole</t>
  </si>
  <si>
    <t>bel</t>
  </si>
  <si>
    <t>zetta</t>
  </si>
  <si>
    <t>customer</t>
  </si>
  <si>
    <t>\second</t>
  </si>
  <si>
    <t>coulomb</t>
  </si>
  <si>
    <t>dalton</t>
  </si>
  <si>
    <t>exa</t>
  </si>
  <si>
    <t>owner</t>
  </si>
  <si>
    <t>ampere</t>
  </si>
  <si>
    <t>\ampere</t>
  </si>
  <si>
    <t>farad</t>
  </si>
  <si>
    <t>day</t>
  </si>
  <si>
    <t>peta</t>
  </si>
  <si>
    <t>other</t>
  </si>
  <si>
    <t>candela</t>
  </si>
  <si>
    <t>\candela</t>
  </si>
  <si>
    <t>gray</t>
  </si>
  <si>
    <t>decibel</t>
  </si>
  <si>
    <t>tera</t>
  </si>
  <si>
    <t>kelvin</t>
  </si>
  <si>
    <t>\kelvin</t>
  </si>
  <si>
    <t>hertz</t>
  </si>
  <si>
    <t>giga</t>
  </si>
  <si>
    <t>\kilogram</t>
  </si>
  <si>
    <t>henry</t>
  </si>
  <si>
    <t>electronvolt</t>
  </si>
  <si>
    <t>mega</t>
  </si>
  <si>
    <t>joule</t>
  </si>
  <si>
    <t>kilo</t>
  </si>
  <si>
    <t>lumen</t>
  </si>
  <si>
    <t>hecto</t>
  </si>
  <si>
    <t>katal</t>
  </si>
  <si>
    <t>deca</t>
  </si>
  <si>
    <t>lux</t>
  </si>
  <si>
    <t>deci</t>
  </si>
  <si>
    <t>newton</t>
  </si>
  <si>
    <t>centi</t>
  </si>
  <si>
    <t>ohm</t>
  </si>
  <si>
    <t>milli</t>
  </si>
  <si>
    <t>pascal</t>
  </si>
  <si>
    <t>neper</t>
  </si>
  <si>
    <t>micro</t>
  </si>
  <si>
    <t>radian</t>
  </si>
  <si>
    <t>nano</t>
  </si>
  <si>
    <t>siemens</t>
  </si>
  <si>
    <t>pico</t>
  </si>
  <si>
    <t>sievert</t>
  </si>
  <si>
    <t>femto</t>
  </si>
  <si>
    <t>steradian</t>
  </si>
  <si>
    <t>atto</t>
  </si>
  <si>
    <t>tesla</t>
  </si>
  <si>
    <t>zepto</t>
  </si>
  <si>
    <t>volt</t>
  </si>
  <si>
    <t>yocto</t>
  </si>
  <si>
    <t>watt</t>
  </si>
  <si>
    <t>weber</t>
  </si>
  <si>
    <t>refType</t>
  </si>
  <si>
    <t>schemaVersion</t>
  </si>
  <si>
    <t>Release</t>
  </si>
  <si>
    <t>ns1:type</t>
  </si>
  <si>
    <t>Microsoft Excel 365 (64-bits)</t>
  </si>
  <si>
    <t>es</t>
  </si>
  <si>
    <t>en</t>
  </si>
  <si>
    <t>Marca</t>
  </si>
  <si>
    <t>Si Identificaciones</t>
  </si>
  <si>
    <t>Serie</t>
  </si>
  <si>
    <t>Identificación</t>
  </si>
  <si>
    <t>Número de serie</t>
  </si>
  <si>
    <t>Serial Number</t>
  </si>
  <si>
    <t>ID Number</t>
  </si>
  <si>
    <t>Unidad</t>
  </si>
  <si>
    <t>manufacturer</t>
  </si>
  <si>
    <t>Tipo Unidades</t>
  </si>
  <si>
    <t>SI_base</t>
  </si>
  <si>
    <t>Tipo</t>
  </si>
  <si>
    <t>\degreeCelsius</t>
  </si>
  <si>
    <t>lang</t>
  </si>
  <si>
    <t>Status</t>
  </si>
  <si>
    <t>referral</t>
  </si>
  <si>
    <t>procedure</t>
  </si>
  <si>
    <t>referralID</t>
  </si>
  <si>
    <t>linkedReport</t>
  </si>
  <si>
    <t>Si Certificado</t>
  </si>
  <si>
    <t>&lt;/data&gt;</t>
  </si>
  <si>
    <t>&lt;/quantity&gt;</t>
  </si>
  <si>
    <t>&lt;/si:hybrid&gt;</t>
  </si>
  <si>
    <t>certificate</t>
  </si>
  <si>
    <t>&lt;/si:real&gt;</t>
  </si>
  <si>
    <t>&lt;/si:constant&gt;</t>
  </si>
  <si>
    <t xml:space="preserve"> </t>
  </si>
  <si>
    <t>Formula</t>
  </si>
  <si>
    <t>Label</t>
  </si>
  <si>
    <t>Value</t>
  </si>
  <si>
    <t>\metre\tothe{2}\kilogram\second\tothe{-3}\ampere\tothe{-2}</t>
  </si>
  <si>
    <t>refID</t>
  </si>
  <si>
    <t>Unidades</t>
  </si>
  <si>
    <t>refType2</t>
  </si>
  <si>
    <t>beforeAdjustment</t>
  </si>
  <si>
    <t>afterAdjustment</t>
  </si>
  <si>
    <t>beforeRepair</t>
  </si>
  <si>
    <t>afterRepair</t>
  </si>
  <si>
    <t>application</t>
  </si>
  <si>
    <t>bios</t>
  </si>
  <si>
    <t>driver</t>
  </si>
  <si>
    <t>editor</t>
  </si>
  <si>
    <t>firmware</t>
  </si>
  <si>
    <t>library</t>
  </si>
  <si>
    <t>os</t>
  </si>
  <si>
    <t>softwareType</t>
  </si>
  <si>
    <t>Conformity</t>
  </si>
  <si>
    <t>pass</t>
  </si>
  <si>
    <t>fail</t>
  </si>
  <si>
    <t>conditionalPass</t>
  </si>
  <si>
    <t>conditionalFail</t>
  </si>
  <si>
    <t>noPass</t>
  </si>
  <si>
    <t>noFail</t>
  </si>
  <si>
    <t>base_platino</t>
  </si>
  <si>
    <t>derived_platino</t>
  </si>
  <si>
    <t>base</t>
  </si>
  <si>
    <t>derived</t>
  </si>
  <si>
    <t>\kilogram\metre\tothe{-1}\second\tothe{-2}</t>
  </si>
  <si>
    <t>tonelada</t>
  </si>
  <si>
    <t>Platino</t>
  </si>
  <si>
    <t>basic_temperature</t>
  </si>
  <si>
    <t>equipmentClass</t>
  </si>
  <si>
    <t>reference</t>
  </si>
  <si>
    <t>classID</t>
  </si>
  <si>
    <t>\one</t>
  </si>
  <si>
    <t>non_SI</t>
  </si>
  <si>
    <t>non_SI_Platino</t>
  </si>
  <si>
    <t>Factor</t>
  </si>
  <si>
    <t>=</t>
  </si>
  <si>
    <t>refType_Basic</t>
  </si>
  <si>
    <t>validityRange</t>
  </si>
  <si>
    <t>validityRangeMin</t>
  </si>
  <si>
    <t>validityRangeMax</t>
  </si>
  <si>
    <t>recalibration</t>
  </si>
  <si>
    <t>basic_uncertainty</t>
  </si>
  <si>
    <t>basic_temperature </t>
  </si>
  <si>
    <t>temperatureMin</t>
  </si>
  <si>
    <t>temperatureMax</t>
  </si>
  <si>
    <t>basic_humidityRelative </t>
  </si>
  <si>
    <t>humidityRelativeMin</t>
  </si>
  <si>
    <t>humidityRelativeMax</t>
  </si>
  <si>
    <t>basic_AirPressure</t>
  </si>
  <si>
    <t>airPressureMin</t>
  </si>
  <si>
    <t>airPressureMax</t>
  </si>
  <si>
    <t>basic_adjustment </t>
  </si>
  <si>
    <t>repair</t>
  </si>
  <si>
    <t>referenceValue</t>
  </si>
  <si>
    <t>basic_measuredValue </t>
  </si>
  <si>
    <t>basic_measurementError </t>
  </si>
  <si>
    <t>calibrationValue</t>
  </si>
  <si>
    <t>basic_conformity </t>
  </si>
  <si>
    <t>basic_acceptanceLimitLower </t>
  </si>
  <si>
    <t>REFTYPES DE MASA</t>
  </si>
  <si>
    <t>basic_acceptanceLimitUpper </t>
  </si>
  <si>
    <t>mass_airDensity</t>
  </si>
  <si>
    <t>basic_toleranceLimitLower </t>
  </si>
  <si>
    <t>mass_airPressure</t>
  </si>
  <si>
    <t>basic_toleranceLimitUpper </t>
  </si>
  <si>
    <t>mass_awi</t>
  </si>
  <si>
    <t>mass_centerOfGravityHeight</t>
  </si>
  <si>
    <t>mass_certificateId</t>
  </si>
  <si>
    <t>mass_certificateNo</t>
  </si>
  <si>
    <t>mass_co2Fraction</t>
  </si>
  <si>
    <t>mass_compressibility</t>
  </si>
  <si>
    <t>mass_conventionalMass</t>
  </si>
  <si>
    <t>basic_calibrationMark </t>
  </si>
  <si>
    <t>mass_cubicExpansionCoefficient</t>
  </si>
  <si>
    <t>basic_marking </t>
  </si>
  <si>
    <t>mass_density</t>
  </si>
  <si>
    <t>basic_methodMeasurementUncertainty </t>
  </si>
  <si>
    <t>mass_diameter</t>
  </si>
  <si>
    <t>basic_nominalValue </t>
  </si>
  <si>
    <t>mass_height</t>
  </si>
  <si>
    <t>basic_referenceAirPressure </t>
  </si>
  <si>
    <t>mass_inventoryNo</t>
  </si>
  <si>
    <t>basic_referenceMass</t>
  </si>
  <si>
    <t>mass_itemId</t>
  </si>
  <si>
    <t>basic_referenceTemperature </t>
  </si>
  <si>
    <t>mass_length</t>
  </si>
  <si>
    <t>basic_referenceValue </t>
  </si>
  <si>
    <t>mass_magneticPolarization</t>
  </si>
  <si>
    <t>basic_serialNo </t>
  </si>
  <si>
    <t>mass_magneticSusceptibility</t>
  </si>
  <si>
    <t>basic_resolution</t>
  </si>
  <si>
    <t>mass_mass</t>
  </si>
  <si>
    <t>basic_mass</t>
  </si>
  <si>
    <t>mass_material</t>
  </si>
  <si>
    <t>basic_min</t>
  </si>
  <si>
    <t>mass_max</t>
  </si>
  <si>
    <t>basic_max</t>
  </si>
  <si>
    <t>mass_mean</t>
  </si>
  <si>
    <t>mass_measuringEquipmentNo</t>
  </si>
  <si>
    <t>mass_medium</t>
  </si>
  <si>
    <t>mass_min</t>
  </si>
  <si>
    <t>mass_nawi</t>
  </si>
  <si>
    <t>mass_referencedValue</t>
  </si>
  <si>
    <t>mass_setPositionNo</t>
  </si>
  <si>
    <t>mass_shape</t>
  </si>
  <si>
    <t>mass_standard</t>
  </si>
  <si>
    <t>mass_surfaceRoughnessRa</t>
  </si>
  <si>
    <t>mass_surfaceRoughnessRz</t>
  </si>
  <si>
    <t>mass_volume</t>
  </si>
  <si>
    <t>mass_width</t>
  </si>
  <si>
    <t>mass_methodMeasurement</t>
  </si>
  <si>
    <t>mass_aComparator</t>
  </si>
  <si>
    <t>mass_mComparator</t>
  </si>
  <si>
    <t/>
  </si>
  <si>
    <t>---Unidades Derivadas</t>
  </si>
  <si>
    <t>---Unidades Base</t>
  </si>
  <si>
    <t>---Unidades no_SI</t>
  </si>
  <si>
    <t>3.3.0</t>
  </si>
  <si>
    <t>weightABC1234</t>
  </si>
  <si>
    <t>mass calibration</t>
  </si>
  <si>
    <t>lang2</t>
  </si>
  <si>
    <t>mass_conventionalMass basic_isInCMC</t>
  </si>
  <si>
    <t>ns2:value3</t>
  </si>
  <si>
    <t>ns2:unit3</t>
  </si>
  <si>
    <t>ns2:value4</t>
  </si>
  <si>
    <t>ns2:unit4</t>
  </si>
  <si>
    <t>ns2:value5</t>
  </si>
  <si>
    <t>ns2:unit5</t>
  </si>
  <si>
    <t>ns2:uncertainty2</t>
  </si>
  <si>
    <t>ns2:coverageFactor2</t>
  </si>
  <si>
    <t>ns2:coverageProbability2</t>
  </si>
  <si>
    <t>Method</t>
  </si>
  <si>
    <t>Determination of the conventional weighing value</t>
  </si>
  <si>
    <t>OIML R111-1:2004</t>
  </si>
  <si>
    <t>Description</t>
  </si>
  <si>
    <t>LangMeth</t>
  </si>
  <si>
    <t>LangDescr</t>
  </si>
  <si>
    <t>Measurement uncertainty</t>
  </si>
  <si>
    <t>EA-4/02 M:2022</t>
  </si>
  <si>
    <t>Norm</t>
  </si>
  <si>
    <t xml:space="preserve">The reported expanded uncertainty is stated as the standard uncertainty multiplied by a coverage factor k=2.
The coverage factor k=2 for a normal distribution corresponds to a coverage probability of approx. 95 %. </t>
  </si>
  <si>
    <t>MeasuringEquipment</t>
  </si>
  <si>
    <t>Reference standards of PTB</t>
  </si>
  <si>
    <t>InfluenceCondition</t>
  </si>
  <si>
    <t>Certificate XXXXX by yyyy dated YYYY-MM-DD</t>
  </si>
  <si>
    <t>ReferralID</t>
  </si>
  <si>
    <t>Referral</t>
  </si>
  <si>
    <t>Lang</t>
  </si>
  <si>
    <t>1.82-2017 qwe-1</t>
  </si>
  <si>
    <t>Procedure</t>
  </si>
  <si>
    <t>analogue</t>
  </si>
  <si>
    <t>basic_referencedValue</t>
  </si>
  <si>
    <t>Value2</t>
  </si>
  <si>
    <t>\kilogram\metre\tothe(-3)</t>
  </si>
  <si>
    <t>Unit</t>
  </si>
  <si>
    <t>ExpandedMUncertainty</t>
  </si>
  <si>
    <t>CoverageFactor</t>
  </si>
  <si>
    <t>CoverageProbability</t>
  </si>
  <si>
    <t>temperature</t>
  </si>
  <si>
    <t>basic_mean</t>
  </si>
  <si>
    <t>air density</t>
  </si>
  <si>
    <t>basic_relativeHumidity</t>
  </si>
  <si>
    <t>relative humidity</t>
  </si>
  <si>
    <t>density</t>
  </si>
  <si>
    <t>MeasurementResult</t>
  </si>
  <si>
    <t>Name</t>
  </si>
  <si>
    <t>Conventional mass</t>
  </si>
  <si>
    <t>refTypeResult</t>
  </si>
  <si>
    <t>Nominal Value</t>
  </si>
  <si>
    <t>LangNominal</t>
  </si>
  <si>
    <t>refTypeNominalValue</t>
  </si>
  <si>
    <t>refTypeMeasuredValue</t>
  </si>
  <si>
    <t>basic_measuredValue</t>
  </si>
  <si>
    <t>MeasuredValue</t>
  </si>
  <si>
    <t>Unit2</t>
  </si>
  <si>
    <t>ExpandedUncertainty</t>
  </si>
  <si>
    <t>refTypeConformity</t>
  </si>
  <si>
    <t>Convention</t>
  </si>
  <si>
    <t>refTypeLower</t>
  </si>
  <si>
    <t>refTypeUpper</t>
  </si>
  <si>
    <t>refTypeError</t>
  </si>
  <si>
    <t>weightABC5678</t>
  </si>
  <si>
    <t>mass calibration weight 2</t>
  </si>
  <si>
    <t>basic_nominalValue</t>
  </si>
  <si>
    <t>Nominal value</t>
  </si>
  <si>
    <t>basic_conformity</t>
  </si>
  <si>
    <t>section 5.3.2</t>
  </si>
  <si>
    <t>basic_toleranceLimitLower</t>
  </si>
  <si>
    <t>basic_toleranceLimitUpper</t>
  </si>
  <si>
    <t>basic_measurementError</t>
  </si>
  <si>
    <t>refTypeQuantity</t>
  </si>
  <si>
    <t>&lt;/certificate</t>
  </si>
  <si>
    <t>ns1:contentOnce3</t>
  </si>
  <si>
    <t>Reference</t>
  </si>
  <si>
    <t>ClassID</t>
  </si>
  <si>
    <t>Model</t>
  </si>
  <si>
    <t>isInCMC</t>
  </si>
  <si>
    <t>Massekalibrierung</t>
  </si>
  <si>
    <t>de</t>
  </si>
  <si>
    <t>Bestimmung des konventionellen Wägewerts</t>
  </si>
  <si>
    <t>Verwendete Methode der Massekalibrierung</t>
  </si>
  <si>
    <t>Used method of True Mass calibration</t>
  </si>
  <si>
    <t>Messunsicherheit</t>
  </si>
  <si>
    <t>The reported expanded uncertainty is stated as the standard uncertainty multiplied by a coverage factor k=2. 
The coverage factor k=2 for a normal distribution corresponds to a coverage probability of approx. 95 %.</t>
  </si>
  <si>
    <t>Angegeben ist die erweiterte Messunsicherheit, die sich aus der Standardmessunsicherheit durch Multiplikation mit dem Erweiterungsfaktor k=2 ergibt. Sie wurde gemäß dem EA-4/02 M:2013 ermittelt.
Der Wert der Messgröße liegt mit einer Wahrscheinlichkeit von 95 % im zugeordneten Werteintervall.</t>
  </si>
  <si>
    <t>Density</t>
  </si>
  <si>
    <t>Nennwert</t>
  </si>
  <si>
    <t>Konventioneller Wägewert</t>
  </si>
  <si>
    <t>2021-06-01T12:01:02</t>
  </si>
  <si>
    <t>Masse</t>
  </si>
  <si>
    <t>Mass</t>
  </si>
  <si>
    <t>Bezugsnormale der PTB</t>
  </si>
  <si>
    <t>Serial number</t>
  </si>
  <si>
    <t>ID number</t>
  </si>
  <si>
    <t>Manufacturer</t>
  </si>
  <si>
    <t>Type</t>
  </si>
  <si>
    <t>Unit (Platinum)</t>
  </si>
  <si>
    <t>Issuer</t>
  </si>
  <si>
    <t>Dichte</t>
  </si>
  <si>
    <t>label</t>
  </si>
  <si>
    <t>degree celsius</t>
  </si>
  <si>
    <t>ExpandedMU</t>
  </si>
  <si>
    <t>Temperatur</t>
  </si>
  <si>
    <t>Luftdichte</t>
  </si>
  <si>
    <t>rel. Luftfeuchte</t>
  </si>
  <si>
    <t>valueExpandedMU</t>
  </si>
  <si>
    <t>coverageFactor</t>
  </si>
  <si>
    <t>coverageProbability</t>
  </si>
  <si>
    <t>DateTime</t>
  </si>
  <si>
    <t>IssuerSerie</t>
  </si>
  <si>
    <t>Issuer ID</t>
  </si>
  <si>
    <t>meter</t>
  </si>
  <si>
    <t>mole</t>
  </si>
  <si>
    <t>second</t>
  </si>
  <si>
    <t>kilogram</t>
  </si>
  <si>
    <t>degree</t>
  </si>
  <si>
    <t>hectare</t>
  </si>
  <si>
    <t>hour</t>
  </si>
  <si>
    <t>liter</t>
  </si>
  <si>
    <t>minute(plane angle)</t>
  </si>
  <si>
    <t>minute(time)</t>
  </si>
  <si>
    <t>second(plane angle)</t>
  </si>
  <si>
    <t>percentage</t>
  </si>
  <si>
    <t>astronomical unit</t>
  </si>
  <si>
    <t>ton</t>
  </si>
  <si>
    <t>If Identifications</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</si>
</sst>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3">
    <numFmt numFmtId="43" formatCode="_-* #,##0.00_-;\-* #,##0.00_-;_-* &quot;-&quot;??_-;_-@_-"/>
    <numFmt numFmtId="164" formatCode="0.00000000"/>
    <numFmt numFmtId="165" formatCode="0.000"/>
  </numFmts>
  <fonts count="36" x14ac:knownFonts="1">
    <font>
      <sz val="11"/>
      <color theme="1"/>
      <name val="Calibri"/>
      <family val="2"/>
      <scheme val="minor"/>
    </font>
    <font>
      <b/>
      <sz val="11"/>
      <color theme="0"/>
      <name val="Calibri"/>
      <family val="2"/>
      <scheme val="minor"/>
    </font>
    <font>
      <sz val="10"/>
      <color theme="1"/>
      <name val="Calibri"/>
      <family val="2"/>
      <scheme val="minor"/>
    </font>
    <font>
      <b/>
      <sz val="11"/>
      <color theme="1"/>
      <name val="Consolas"/>
      <family val="3"/>
    </font>
    <font>
      <sz val="10"/>
      <name val="Calibri"/>
      <family val="2"/>
      <scheme val="minor"/>
    </font>
    <font>
      <b/>
      <sz val="9"/>
      <color theme="1"/>
      <name val="Calibri"/>
      <family val="2"/>
      <scheme val="minor"/>
    </font>
    <font>
      <b/>
      <i/>
      <sz val="11"/>
      <color theme="1"/>
      <name val="Bierstadt"/>
      <family val="2"/>
    </font>
    <font>
      <i/>
      <sz val="12"/>
      <color theme="1"/>
      <name val="Calibri"/>
      <family val="2"/>
      <scheme val="minor"/>
    </font>
    <font>
      <b/>
      <sz val="11"/>
      <color theme="1"/>
      <name val="Bierstadt"/>
      <family val="2"/>
    </font>
    <font>
      <sz val="11"/>
      <color theme="1"/>
      <name val="Calibri"/>
      <family val="2"/>
      <scheme val="minor"/>
    </font>
    <font>
      <b/>
      <sz val="11"/>
      <color theme="1"/>
      <name val="Calibri"/>
      <family val="2"/>
      <scheme val="minor"/>
    </font>
    <font>
      <b/>
      <sz val="10"/>
      <color theme="0"/>
      <name val="Arial"/>
      <family val="2"/>
    </font>
    <font>
      <sz val="10"/>
      <color theme="1"/>
      <name val="Arial"/>
      <family val="2"/>
    </font>
    <font>
      <b/>
      <i/>
      <sz val="10"/>
      <color theme="1"/>
      <name val="Consolas"/>
      <family val="3"/>
    </font>
    <font>
      <i/>
      <sz val="10"/>
      <name val="Arial"/>
      <family val="2"/>
    </font>
    <font>
      <sz val="10"/>
      <name val="Arial"/>
      <family val="2"/>
    </font>
    <font>
      <b/>
      <sz val="10"/>
      <color theme="1"/>
      <name val="Calibri"/>
      <family val="2"/>
      <scheme val="minor"/>
    </font>
    <font>
      <sz val="9"/>
      <color theme="1"/>
      <name val="Calibri"/>
      <family val="2"/>
      <scheme val="minor"/>
    </font>
    <font>
      <b/>
      <i/>
      <sz val="11"/>
      <color theme="1"/>
      <name val="Calibri"/>
      <family val="2"/>
      <scheme val="minor"/>
    </font>
    <font>
      <b/>
      <i/>
      <sz val="11"/>
      <name val="Calibri"/>
      <family val="2"/>
      <scheme val="minor"/>
    </font>
    <font>
      <b/>
      <i/>
      <sz val="11"/>
      <name val="Bierstadt"/>
      <family val="2"/>
    </font>
    <font>
      <b/>
      <sz val="10"/>
      <name val="Calibri"/>
      <family val="2"/>
      <scheme val="minor"/>
    </font>
    <font>
      <b/>
      <sz val="11"/>
      <name val="Bierstadt"/>
      <family val="2"/>
    </font>
    <font>
      <sz val="10"/>
      <name val="Arial"/>
      <family val="2"/>
    </font>
    <font>
      <i/>
      <sz val="10"/>
      <name val="Calibri"/>
      <family val="2"/>
      <scheme val="minor"/>
    </font>
    <font>
      <b/>
      <sz val="10"/>
      <color theme="0"/>
      <name val="Calibri"/>
      <family val="2"/>
      <scheme val="minor"/>
    </font>
    <font>
      <sz val="10"/>
      <color theme="1"/>
      <name val="Consolas"/>
      <family val="3"/>
    </font>
    <font>
      <i/>
      <sz val="10"/>
      <color theme="1"/>
      <name val="Calibri"/>
      <family val="2"/>
      <scheme val="minor"/>
    </font>
    <font>
      <sz val="8"/>
      <name val="Calibri"/>
      <family val="2"/>
      <scheme val="minor"/>
    </font>
    <font>
      <i/>
      <sz val="11"/>
      <name val="Calibri"/>
      <family val="2"/>
      <scheme val="minor"/>
    </font>
    <font>
      <b/>
      <i/>
      <sz val="10"/>
      <color theme="1"/>
      <name val="Bierstadt"/>
      <family val="2"/>
    </font>
    <font>
      <sz val="10"/>
      <name val="Bierstadt"/>
      <family val="2"/>
    </font>
    <font>
      <b/>
      <sz val="10"/>
      <color theme="1"/>
      <name val="Bierstadt"/>
      <family val="2"/>
    </font>
    <font>
      <b/>
      <sz val="10"/>
      <name val="Bierstadt"/>
      <family val="2"/>
    </font>
    <font>
      <b/>
      <i/>
      <sz val="10"/>
      <name val="Calibri"/>
      <family val="2"/>
      <scheme val="minor"/>
    </font>
    <font>
      <b/>
      <sz val="10"/>
      <color theme="0"/>
      <name val="Consolas"/>
      <family val="3"/>
    </font>
  </fonts>
  <fills count="16">
    <fill>
      <patternFill patternType="none"/>
    </fill>
    <fill>
      <patternFill patternType="gray125"/>
    </fill>
    <fill>
      <patternFill patternType="solid">
        <fgColor theme="4"/>
        <bgColor theme="4"/>
      </patternFill>
    </fill>
    <fill>
      <patternFill patternType="solid">
        <fgColor theme="4" tint="-0.499984740745262"/>
        <bgColor indexed="64"/>
      </patternFill>
    </fill>
    <fill>
      <patternFill patternType="solid">
        <fgColor theme="0"/>
        <bgColor indexed="64"/>
      </patternFill>
    </fill>
    <fill>
      <patternFill patternType="solid">
        <fgColor theme="4" tint="0.79998168889431442"/>
        <bgColor theme="4" tint="0.79998168889431442"/>
      </patternFill>
    </fill>
    <fill>
      <patternFill patternType="solid">
        <fgColor rgb="FFA27F19"/>
        <bgColor indexed="64"/>
      </patternFill>
    </fill>
    <fill>
      <patternFill patternType="solid">
        <fgColor theme="5" tint="0.39997558519241921"/>
        <bgColor indexed="65"/>
      </patternFill>
    </fill>
    <fill>
      <patternFill patternType="solid">
        <fgColor theme="6"/>
        <bgColor theme="6"/>
      </patternFill>
    </fill>
    <fill>
      <patternFill patternType="solid">
        <fgColor theme="6" tint="0.79998168889431442"/>
        <bgColor theme="6" tint="0.79998168889431442"/>
      </patternFill>
    </fill>
    <fill>
      <patternFill patternType="solid">
        <fgColor rgb="FF00B050"/>
        <bgColor indexed="64"/>
      </patternFill>
    </fill>
    <fill>
      <patternFill patternType="solid">
        <fgColor rgb="FFC00000"/>
        <bgColor indexed="64"/>
      </patternFill>
    </fill>
    <fill>
      <patternFill patternType="solid">
        <fgColor theme="4" tint="0.59999389629810485"/>
        <bgColor theme="4" tint="0.59999389629810485"/>
      </patternFill>
    </fill>
    <fill>
      <patternFill patternType="solid">
        <fgColor theme="0" tint="-0.14999847407452621"/>
        <bgColor theme="0" tint="-0.14999847407452621"/>
      </patternFill>
    </fill>
    <fill>
      <patternFill patternType="solid">
        <fgColor theme="8"/>
        <bgColor theme="8"/>
      </patternFill>
    </fill>
    <fill>
      <patternFill patternType="solid">
        <fgColor rgb="FFFFFF00"/>
        <bgColor indexed="64"/>
      </patternFill>
    </fill>
  </fills>
  <borders count="33">
    <border>
      <left/>
      <right/>
      <top/>
      <bottom/>
      <diagonal/>
    </border>
    <border>
      <left style="thin">
        <color auto="1"/>
      </left>
      <right style="thin">
        <color auto="1"/>
      </right>
      <top style="thin">
        <color auto="1"/>
      </top>
      <bottom style="thin">
        <color auto="1"/>
      </bottom>
      <diagonal/>
    </border>
    <border>
      <left style="thin">
        <color auto="1"/>
      </left>
      <right style="thin">
        <color auto="1"/>
      </right>
      <top style="thin">
        <color auto="1"/>
      </top>
      <bottom/>
      <diagonal/>
    </border>
    <border>
      <left style="thin">
        <color theme="4" tint="0.39997558519241921"/>
      </left>
      <right/>
      <top style="thin">
        <color theme="4" tint="0.39997558519241921"/>
      </top>
      <bottom/>
      <diagonal/>
    </border>
    <border>
      <left/>
      <right style="thin">
        <color theme="4" tint="0.39997558519241921"/>
      </right>
      <top style="thin">
        <color theme="4" tint="0.39997558519241921"/>
      </top>
      <bottom/>
      <diagonal/>
    </border>
    <border>
      <left/>
      <right/>
      <top style="thin">
        <color theme="4" tint="0.39997558519241921"/>
      </top>
      <bottom/>
      <diagonal/>
    </border>
    <border>
      <left style="thin">
        <color theme="6" tint="0.39997558519241921"/>
      </left>
      <right/>
      <top style="thin">
        <color theme="6" tint="0.39997558519241921"/>
      </top>
      <bottom/>
      <diagonal/>
    </border>
    <border>
      <left/>
      <right/>
      <top style="thin">
        <color theme="6" tint="0.39997558519241921"/>
      </top>
      <bottom/>
      <diagonal/>
    </border>
    <border>
      <left/>
      <right style="thin">
        <color theme="6" tint="0.39997558519241921"/>
      </right>
      <top style="thin">
        <color theme="6" tint="0.39997558519241921"/>
      </top>
      <bottom/>
      <diagonal/>
    </border>
    <border>
      <left/>
      <right/>
      <top style="thin">
        <color theme="6" tint="0.39997558519241921"/>
      </top>
      <bottom style="thin">
        <color theme="6" tint="0.39994506668294322"/>
      </bottom>
      <diagonal/>
    </border>
    <border>
      <left/>
      <right/>
      <top/>
      <bottom style="thin">
        <color theme="6" tint="0.39997558519241921"/>
      </bottom>
      <diagonal/>
    </border>
    <border>
      <left style="thin">
        <color theme="5" tint="0.39991454817346722"/>
      </left>
      <right/>
      <top/>
      <bottom/>
      <diagonal/>
    </border>
    <border>
      <left/>
      <right/>
      <top style="medium">
        <color theme="1" tint="0.499984740745262"/>
      </top>
      <bottom style="thin">
        <color theme="6" tint="0.39997558519241921"/>
      </bottom>
      <diagonal/>
    </border>
    <border>
      <left style="thin">
        <color theme="5" tint="0.39991454817346722"/>
      </left>
      <right/>
      <top style="thin">
        <color theme="5" tint="0.39988402966399123"/>
      </top>
      <bottom/>
      <diagonal/>
    </border>
    <border>
      <left/>
      <right/>
      <top style="thin">
        <color theme="5" tint="0.39988402966399123"/>
      </top>
      <bottom/>
      <diagonal/>
    </border>
    <border>
      <left/>
      <right style="thin">
        <color theme="5" tint="0.39988402966399123"/>
      </right>
      <top style="thin">
        <color theme="5" tint="0.39988402966399123"/>
      </top>
      <bottom/>
      <diagonal/>
    </border>
    <border>
      <left style="thin">
        <color theme="5" tint="0.39991454817346722"/>
      </left>
      <right/>
      <top/>
      <bottom style="thin">
        <color theme="5" tint="0.39988402966399123"/>
      </bottom>
      <diagonal/>
    </border>
    <border>
      <left/>
      <right/>
      <top/>
      <bottom style="thin">
        <color theme="5" tint="0.39988402966399123"/>
      </bottom>
      <diagonal/>
    </border>
    <border>
      <left style="thin">
        <color theme="5" tint="0.39994506668294322"/>
      </left>
      <right/>
      <top/>
      <bottom/>
      <diagonal/>
    </border>
    <border>
      <left style="thin">
        <color theme="4" tint="0.39997558519241921"/>
      </left>
      <right style="thin">
        <color theme="4" tint="0.39997558519241921"/>
      </right>
      <top style="thin">
        <color theme="4" tint="0.39997558519241921"/>
      </top>
      <bottom style="thin">
        <color theme="4" tint="0.39997558519241921"/>
      </bottom>
      <diagonal/>
    </border>
    <border>
      <left/>
      <right style="thin">
        <color theme="5"/>
      </right>
      <top/>
      <bottom/>
      <diagonal/>
    </border>
    <border>
      <left style="thin">
        <color theme="5"/>
      </left>
      <right/>
      <top style="thin">
        <color theme="5"/>
      </top>
      <bottom/>
      <diagonal/>
    </border>
    <border>
      <left style="thin">
        <color theme="5"/>
      </left>
      <right style="thin">
        <color auto="1"/>
      </right>
      <top/>
      <bottom/>
      <diagonal/>
    </border>
    <border>
      <left/>
      <right/>
      <top/>
      <bottom style="medium">
        <color theme="1"/>
      </bottom>
      <diagonal/>
    </border>
    <border>
      <left/>
      <right style="thin">
        <color theme="6" tint="0.39997558519241921"/>
      </right>
      <top style="thin">
        <color theme="6" tint="0.39997558519241921"/>
      </top>
      <bottom style="thin">
        <color theme="6" tint="0.39997558519241921"/>
      </bottom>
      <diagonal/>
    </border>
    <border>
      <left style="thin">
        <color theme="4" tint="0.39997558519241921"/>
      </left>
      <right/>
      <top style="thin">
        <color theme="4" tint="0.39997558519241921"/>
      </top>
      <bottom style="thin">
        <color theme="4" tint="0.39997558519241921"/>
      </bottom>
      <diagonal/>
    </border>
    <border>
      <left/>
      <right style="thin">
        <color theme="4" tint="0.39997558519241921"/>
      </right>
      <top style="thin">
        <color theme="4" tint="0.39997558519241921"/>
      </top>
      <bottom style="thin">
        <color theme="4" tint="0.39997558519241921"/>
      </bottom>
      <diagonal/>
    </border>
    <border>
      <left style="medium">
        <color indexed="64"/>
      </left>
      <right style="medium">
        <color indexed="64"/>
      </right>
      <top/>
      <bottom/>
      <diagonal/>
    </border>
    <border>
      <left style="thin">
        <color theme="4" tint="0.39997558519241921"/>
      </left>
      <right style="thin">
        <color theme="4" tint="0.39997558519241921"/>
      </right>
      <top style="thin">
        <color auto="1"/>
      </top>
      <bottom/>
      <diagonal/>
    </border>
    <border>
      <left/>
      <right style="thin">
        <color auto="1"/>
      </right>
      <top/>
      <bottom/>
      <diagonal/>
    </border>
    <border>
      <left style="thin">
        <color theme="6" tint="0.39997558519241921"/>
      </left>
      <right/>
      <top style="thin">
        <color theme="6" tint="0.39997558519241921"/>
      </top>
      <bottom style="thin">
        <color theme="6" tint="0.39997558519241921"/>
      </bottom>
      <diagonal/>
    </border>
    <border>
      <left/>
      <right/>
      <top style="thin">
        <color theme="6" tint="0.39997558519241921"/>
      </top>
      <bottom style="thin">
        <color theme="6" tint="0.39997558519241921"/>
      </bottom>
      <diagonal/>
    </border>
    <border>
      <left style="thin">
        <color theme="6" tint="0.39997558519241921"/>
      </left>
      <right style="thin">
        <color theme="6" tint="0.39997558519241921"/>
      </right>
      <top style="thin">
        <color theme="6" tint="0.39997558519241921"/>
      </top>
      <bottom style="thin">
        <color theme="4" tint="0.39997558519241921"/>
      </bottom>
      <diagonal/>
    </border>
  </borders>
  <cellStyleXfs count="6">
    <xf numFmtId="0" fontId="0" fillId="0" borderId="0"/>
    <xf numFmtId="0" fontId="9" fillId="7" borderId="0" applyNumberFormat="0" applyBorder="0" applyAlignment="0" applyProtection="0"/>
    <xf numFmtId="0" fontId="15" fillId="0" borderId="0"/>
    <xf numFmtId="0" fontId="23" fillId="0" borderId="0"/>
    <xf numFmtId="9" fontId="15" fillId="0" borderId="0" applyFont="0" applyFill="0" applyBorder="0" applyAlignment="0" applyProtection="0"/>
    <xf numFmtId="43" fontId="15" fillId="0" borderId="0" applyFont="0" applyFill="0" applyBorder="0" applyAlignment="0" applyProtection="0"/>
  </cellStyleXfs>
  <cellXfs count="155">
    <xf numFmtId="0" fontId="0" fillId="0" borderId="0" xfId="0"/>
    <xf numFmtId="0" fontId="0" fillId="0" borderId="0" xfId="0" applyAlignment="1">
      <alignment horizontal="left" vertical="center"/>
    </xf>
    <xf numFmtId="11" fontId="0" fillId="0" borderId="0" xfId="0" applyNumberFormat="1"/>
    <xf numFmtId="0" fontId="0" fillId="3" borderId="0" xfId="0" applyFill="1"/>
    <xf numFmtId="49" fontId="3" fillId="4" borderId="0" xfId="0" applyNumberFormat="1" applyFont="1" applyFill="1" applyAlignment="1">
      <alignment horizontal="right" vertical="center"/>
    </xf>
    <xf numFmtId="0" fontId="0" fillId="6" borderId="0" xfId="0" applyFill="1"/>
    <xf numFmtId="0" fontId="0" fillId="10" borderId="0" xfId="0" applyFill="1"/>
    <xf numFmtId="0" fontId="19" fillId="0" borderId="14" xfId="2" applyFont="1" applyBorder="1" applyAlignment="1">
      <alignment vertical="center"/>
    </xf>
    <xf numFmtId="0" fontId="19" fillId="0" borderId="15" xfId="2" applyFont="1" applyBorder="1" applyAlignment="1">
      <alignment vertical="center"/>
    </xf>
    <xf numFmtId="0" fontId="0" fillId="11" borderId="0" xfId="0" applyFill="1"/>
    <xf numFmtId="49" fontId="2" fillId="0" borderId="0" xfId="0" applyNumberFormat="1" applyFont="1" applyAlignment="1">
      <alignment horizontal="center"/>
    </xf>
    <xf numFmtId="0" fontId="2" fillId="0" borderId="0" xfId="0" applyFont="1" applyAlignment="1">
      <alignment horizontal="left"/>
    </xf>
    <xf numFmtId="0" fontId="26" fillId="0" borderId="0" xfId="0" applyFont="1"/>
    <xf numFmtId="0" fontId="2" fillId="9" borderId="24" xfId="0" applyFont="1" applyFill="1" applyBorder="1" applyAlignment="1">
      <alignment horizontal="left"/>
    </xf>
    <xf numFmtId="0" fontId="1" fillId="14" borderId="23" xfId="0" applyFont="1" applyFill="1" applyBorder="1" applyAlignment="1">
      <alignment horizontal="left" vertical="center"/>
    </xf>
    <xf numFmtId="0" fontId="0" fillId="13" borderId="0" xfId="0" applyFill="1"/>
    <xf numFmtId="49" fontId="2" fillId="0" borderId="0" xfId="0" applyNumberFormat="1" applyFont="1"/>
    <xf numFmtId="0" fontId="0" fillId="0" borderId="0" xfId="0" applyAlignment="1">
      <alignment horizontal="center"/>
    </xf>
    <xf numFmtId="0" fontId="2" fillId="0" borderId="0" xfId="0" applyFont="1" applyAlignment="1">
      <alignment horizontal="center" vertical="center"/>
    </xf>
    <xf numFmtId="0" fontId="6" fillId="0" borderId="0" xfId="0" applyFont="1" applyAlignment="1">
      <alignment horizontal="left" vertical="center"/>
    </xf>
    <xf numFmtId="0" fontId="1" fillId="2" borderId="0" xfId="0" applyFont="1" applyFill="1"/>
    <xf numFmtId="0" fontId="1" fillId="2" borderId="3" xfId="0" applyFont="1" applyFill="1" applyBorder="1"/>
    <xf numFmtId="0" fontId="1" fillId="2" borderId="4" xfId="0" applyFont="1" applyFill="1" applyBorder="1"/>
    <xf numFmtId="0" fontId="2" fillId="5" borderId="5" xfId="0" applyFont="1" applyFill="1" applyBorder="1"/>
    <xf numFmtId="0" fontId="2" fillId="5" borderId="0" xfId="0" applyFont="1" applyFill="1" applyAlignment="1">
      <alignment horizontal="center"/>
    </xf>
    <xf numFmtId="0" fontId="24" fillId="0" borderId="2" xfId="0" applyFont="1" applyBorder="1" applyAlignment="1" applyProtection="1">
      <alignment horizontal="center" vertical="center"/>
      <protection locked="0"/>
    </xf>
    <xf numFmtId="0" fontId="4" fillId="0" borderId="0" xfId="0" applyFont="1"/>
    <xf numFmtId="0" fontId="2" fillId="0" borderId="0" xfId="0" applyFont="1" applyAlignment="1">
      <alignment vertical="center"/>
    </xf>
    <xf numFmtId="0" fontId="2" fillId="0" borderId="0" xfId="0" applyFont="1" applyAlignment="1">
      <alignment horizontal="left" vertical="top" wrapText="1"/>
    </xf>
    <xf numFmtId="0" fontId="2" fillId="0" borderId="0" xfId="0" applyFont="1" applyAlignment="1">
      <alignment wrapText="1"/>
    </xf>
    <xf numFmtId="0" fontId="14" fillId="0" borderId="13" xfId="2" applyFont="1" applyBorder="1" applyAlignment="1">
      <alignment horizontal="center" vertical="center"/>
    </xf>
    <xf numFmtId="0" fontId="14" fillId="0" borderId="15" xfId="2" applyFont="1" applyBorder="1" applyAlignment="1">
      <alignment horizontal="center" vertical="center"/>
    </xf>
    <xf numFmtId="0" fontId="2" fillId="5" borderId="25" xfId="0" applyFont="1" applyFill="1" applyBorder="1"/>
    <xf numFmtId="0" fontId="2" fillId="5" borderId="26" xfId="0" applyFont="1" applyFill="1" applyBorder="1" applyAlignment="1">
      <alignment horizontal="center"/>
    </xf>
    <xf numFmtId="0" fontId="2" fillId="0" borderId="0" xfId="0" applyFont="1"/>
    <xf numFmtId="0" fontId="3" fillId="0" borderId="0" xfId="0" applyFont="1" applyAlignment="1">
      <alignment horizontal="right" vertical="center"/>
    </xf>
    <xf numFmtId="0" fontId="24" fillId="0" borderId="1" xfId="0" applyFont="1" applyBorder="1" applyAlignment="1">
      <alignment horizontal="center" vertical="center"/>
    </xf>
    <xf numFmtId="0" fontId="21" fillId="5" borderId="19" xfId="0" applyFont="1" applyFill="1" applyBorder="1"/>
    <xf numFmtId="0" fontId="4" fillId="12" borderId="19" xfId="0" applyFont="1" applyFill="1" applyBorder="1" applyAlignment="1">
      <alignment horizontal="center" vertical="center"/>
    </xf>
    <xf numFmtId="0" fontId="20" fillId="0" borderId="13" xfId="2" applyFont="1" applyBorder="1" applyAlignment="1">
      <alignment horizontal="right" vertical="center"/>
    </xf>
    <xf numFmtId="0" fontId="6" fillId="7" borderId="18" xfId="1" applyNumberFormat="1" applyFont="1" applyBorder="1" applyAlignment="1">
      <alignment horizontal="center" vertical="center"/>
    </xf>
    <xf numFmtId="0" fontId="13" fillId="7" borderId="11" xfId="1" applyNumberFormat="1" applyFont="1" applyBorder="1" applyAlignment="1">
      <alignment horizontal="center"/>
    </xf>
    <xf numFmtId="0" fontId="13" fillId="7" borderId="0" xfId="1" applyNumberFormat="1" applyFont="1" applyBorder="1" applyAlignment="1">
      <alignment horizontal="center"/>
    </xf>
    <xf numFmtId="0" fontId="2" fillId="0" borderId="0" xfId="0" applyFont="1" applyAlignment="1">
      <alignment horizontal="center"/>
    </xf>
    <xf numFmtId="0" fontId="14" fillId="0" borderId="14" xfId="2" applyFont="1" applyBorder="1" applyAlignment="1">
      <alignment horizontal="center" vertical="center"/>
    </xf>
    <xf numFmtId="0" fontId="11" fillId="8" borderId="7" xfId="0" applyFont="1" applyFill="1" applyBorder="1" applyAlignment="1">
      <alignment horizontal="center" vertical="center"/>
    </xf>
    <xf numFmtId="0" fontId="11" fillId="8" borderId="8" xfId="0" applyFont="1" applyFill="1" applyBorder="1" applyAlignment="1">
      <alignment horizontal="center" vertical="center"/>
    </xf>
    <xf numFmtId="0" fontId="2" fillId="9" borderId="7" xfId="0" applyFont="1" applyFill="1" applyBorder="1" applyAlignment="1">
      <alignment horizontal="center" vertical="center"/>
    </xf>
    <xf numFmtId="0" fontId="11" fillId="8" borderId="7" xfId="0" applyFont="1" applyFill="1" applyBorder="1" applyAlignment="1">
      <alignment horizontal="center"/>
    </xf>
    <xf numFmtId="0" fontId="2" fillId="9" borderId="9" xfId="0" applyFont="1" applyFill="1" applyBorder="1" applyAlignment="1">
      <alignment horizontal="center" vertical="center"/>
    </xf>
    <xf numFmtId="0" fontId="11" fillId="8" borderId="6" xfId="0" applyFont="1" applyFill="1" applyBorder="1" applyAlignment="1">
      <alignment horizontal="center" vertical="center"/>
    </xf>
    <xf numFmtId="0" fontId="12" fillId="9" borderId="6" xfId="0" applyFont="1" applyFill="1" applyBorder="1"/>
    <xf numFmtId="0" fontId="13" fillId="7" borderId="16" xfId="1" applyNumberFormat="1" applyFont="1" applyBorder="1" applyAlignment="1">
      <alignment horizontal="center"/>
    </xf>
    <xf numFmtId="0" fontId="13" fillId="7" borderId="17" xfId="1" applyNumberFormat="1" applyFont="1" applyBorder="1" applyAlignment="1">
      <alignment horizontal="center"/>
    </xf>
    <xf numFmtId="0" fontId="10" fillId="0" borderId="0" xfId="0" applyFont="1" applyAlignment="1">
      <alignment horizontal="center"/>
    </xf>
    <xf numFmtId="0" fontId="16" fillId="0" borderId="0" xfId="0" applyFont="1" applyAlignment="1">
      <alignment horizontal="left"/>
    </xf>
    <xf numFmtId="0" fontId="2" fillId="0" borderId="0" xfId="0" applyFont="1" applyAlignment="1">
      <alignment horizontal="left" vertical="center"/>
    </xf>
    <xf numFmtId="0" fontId="5" fillId="0" borderId="0" xfId="0" applyFont="1" applyAlignment="1">
      <alignment horizontal="center" vertical="center"/>
    </xf>
    <xf numFmtId="0" fontId="0" fillId="9" borderId="7" xfId="0" applyFill="1" applyBorder="1" applyAlignment="1">
      <alignment horizontal="center" vertical="center"/>
    </xf>
    <xf numFmtId="0" fontId="0" fillId="0" borderId="0" xfId="0" applyAlignment="1">
      <alignment horizontal="center" vertical="center"/>
    </xf>
    <xf numFmtId="0" fontId="27" fillId="0" borderId="0" xfId="0" applyFont="1" applyAlignment="1">
      <alignment horizontal="left" vertical="center"/>
    </xf>
    <xf numFmtId="0" fontId="8" fillId="0" borderId="0" xfId="0" applyFont="1" applyAlignment="1">
      <alignment horizontal="left" vertical="center"/>
    </xf>
    <xf numFmtId="0" fontId="22" fillId="0" borderId="13" xfId="2" applyFont="1" applyBorder="1" applyAlignment="1">
      <alignment horizontal="right" vertical="center"/>
    </xf>
    <xf numFmtId="0" fontId="27" fillId="0" borderId="0" xfId="0" applyFont="1"/>
    <xf numFmtId="0" fontId="4" fillId="0" borderId="0" xfId="0" applyFont="1" applyAlignment="1">
      <alignment horizontal="center" vertical="center"/>
    </xf>
    <xf numFmtId="0" fontId="17" fillId="0" borderId="0" xfId="0" applyFont="1"/>
    <xf numFmtId="0" fontId="8" fillId="0" borderId="21" xfId="0" applyFont="1" applyBorder="1" applyAlignment="1">
      <alignment horizontal="center" vertical="center"/>
    </xf>
    <xf numFmtId="0" fontId="19" fillId="0" borderId="14" xfId="2" applyFont="1" applyBorder="1" applyAlignment="1">
      <alignment horizontal="center" vertical="center"/>
    </xf>
    <xf numFmtId="0" fontId="3" fillId="0" borderId="22" xfId="0" applyFont="1" applyBorder="1" applyAlignment="1">
      <alignment horizontal="right" vertical="center"/>
    </xf>
    <xf numFmtId="0" fontId="0" fillId="0" borderId="20" xfId="0" applyBorder="1"/>
    <xf numFmtId="0" fontId="18" fillId="7" borderId="0" xfId="1" applyNumberFormat="1" applyFont="1" applyBorder="1" applyAlignment="1">
      <alignment horizontal="center" vertical="center"/>
    </xf>
    <xf numFmtId="0" fontId="25" fillId="8" borderId="6" xfId="0" applyFont="1" applyFill="1" applyBorder="1" applyAlignment="1">
      <alignment horizontal="left" vertical="center"/>
    </xf>
    <xf numFmtId="0" fontId="2" fillId="9" borderId="6" xfId="0" applyFont="1" applyFill="1" applyBorder="1"/>
    <xf numFmtId="0" fontId="2" fillId="9" borderId="6" xfId="0" applyFont="1" applyFill="1" applyBorder="1" applyAlignment="1">
      <alignment horizontal="center"/>
    </xf>
    <xf numFmtId="0" fontId="10" fillId="0" borderId="0" xfId="0" applyFont="1"/>
    <xf numFmtId="0" fontId="6" fillId="7" borderId="0" xfId="1" applyNumberFormat="1" applyFont="1" applyBorder="1" applyAlignment="1">
      <alignment horizontal="center" vertical="center"/>
    </xf>
    <xf numFmtId="0" fontId="2" fillId="9" borderId="0" xfId="0" applyFont="1" applyFill="1" applyAlignment="1">
      <alignment horizontal="left"/>
    </xf>
    <xf numFmtId="0" fontId="0" fillId="0" borderId="27" xfId="0" applyBorder="1"/>
    <xf numFmtId="0" fontId="10" fillId="15" borderId="27" xfId="0" applyFont="1" applyFill="1" applyBorder="1"/>
    <xf numFmtId="0" fontId="0" fillId="0" borderId="0" xfId="0" quotePrefix="1"/>
    <xf numFmtId="49" fontId="7" fillId="0" borderId="0" xfId="0" applyNumberFormat="1" applyFont="1" applyAlignment="1">
      <alignment horizontal="center"/>
    </xf>
    <xf numFmtId="49" fontId="0" fillId="0" borderId="0" xfId="0" applyNumberFormat="1"/>
    <xf numFmtId="49" fontId="0" fillId="0" borderId="0" xfId="0" applyNumberFormat="1" applyAlignment="1">
      <alignment horizontal="left" vertical="center"/>
    </xf>
    <xf numFmtId="49" fontId="0" fillId="0" borderId="0" xfId="0" applyNumberFormat="1" applyAlignment="1">
      <alignment horizontal="left" vertical="center" wrapText="1"/>
    </xf>
    <xf numFmtId="0" fontId="0" fillId="0" borderId="0" xfId="0" applyAlignment="1">
      <alignment horizontal="centerContinuous"/>
    </xf>
    <xf numFmtId="49" fontId="2" fillId="0" borderId="0" xfId="0" applyNumberFormat="1" applyFont="1" applyAlignment="1" applyProtection="1">
      <alignment vertical="center"/>
      <protection locked="0"/>
    </xf>
    <xf numFmtId="49" fontId="2" fillId="0" borderId="0" xfId="0" applyNumberFormat="1" applyFont="1" applyAlignment="1">
      <alignment horizontal="center" vertical="center"/>
    </xf>
    <xf numFmtId="2" fontId="0" fillId="0" borderId="0" xfId="0" applyNumberFormat="1"/>
    <xf numFmtId="164" fontId="0" fillId="0" borderId="0" xfId="0" applyNumberFormat="1"/>
    <xf numFmtId="0" fontId="0" fillId="0" borderId="0" xfId="0" applyAlignment="1">
      <alignment horizontal="left"/>
    </xf>
    <xf numFmtId="0" fontId="24" fillId="0" borderId="2" xfId="0" applyFont="1" applyBorder="1" applyAlignment="1" applyProtection="1">
      <alignment horizontal="right" vertical="center"/>
      <protection locked="0"/>
    </xf>
    <xf numFmtId="49" fontId="24" fillId="0" borderId="1" xfId="0" applyNumberFormat="1" applyFont="1" applyBorder="1" applyAlignment="1" applyProtection="1">
      <alignment horizontal="right" vertical="center"/>
      <protection locked="0"/>
    </xf>
    <xf numFmtId="49" fontId="2" fillId="5" borderId="5" xfId="0" applyNumberFormat="1" applyFont="1" applyFill="1" applyBorder="1"/>
    <xf numFmtId="49" fontId="2" fillId="5" borderId="0" xfId="0" applyNumberFormat="1" applyFont="1" applyFill="1" applyAlignment="1">
      <alignment horizontal="center"/>
    </xf>
    <xf numFmtId="49" fontId="2" fillId="0" borderId="0" xfId="0" applyNumberFormat="1" applyFont="1" applyAlignment="1">
      <alignment vertical="center"/>
    </xf>
    <xf numFmtId="0" fontId="13" fillId="7" borderId="0" xfId="1" applyNumberFormat="1" applyFont="1" applyBorder="1" applyAlignment="1">
      <alignment horizontal="centerContinuous"/>
    </xf>
    <xf numFmtId="0" fontId="14" fillId="0" borderId="15" xfId="2" applyFont="1" applyBorder="1" applyAlignment="1">
      <alignment horizontal="centerContinuous" vertical="center"/>
    </xf>
    <xf numFmtId="0" fontId="29" fillId="0" borderId="14" xfId="2" applyFont="1" applyBorder="1" applyAlignment="1">
      <alignment horizontal="centerContinuous" vertical="center"/>
    </xf>
    <xf numFmtId="0" fontId="30" fillId="7" borderId="0" xfId="1" applyNumberFormat="1" applyFont="1" applyBorder="1" applyAlignment="1">
      <alignment horizontal="centerContinuous"/>
    </xf>
    <xf numFmtId="0" fontId="31" fillId="0" borderId="13" xfId="2" applyFont="1" applyBorder="1" applyAlignment="1">
      <alignment horizontal="centerContinuous" vertical="center"/>
    </xf>
    <xf numFmtId="0" fontId="32" fillId="0" borderId="0" xfId="0" applyFont="1" applyAlignment="1">
      <alignment horizontal="left" vertical="center"/>
    </xf>
    <xf numFmtId="0" fontId="33" fillId="0" borderId="13" xfId="2" applyFont="1" applyBorder="1" applyAlignment="1">
      <alignment horizontal="right" vertical="center"/>
    </xf>
    <xf numFmtId="0" fontId="34" fillId="0" borderId="14" xfId="2" applyFont="1" applyBorder="1" applyAlignment="1">
      <alignment vertical="center"/>
    </xf>
    <xf numFmtId="0" fontId="30" fillId="7" borderId="18" xfId="1" applyNumberFormat="1" applyFont="1" applyBorder="1" applyAlignment="1">
      <alignment horizontal="centerContinuous" vertical="center"/>
    </xf>
    <xf numFmtId="0" fontId="30" fillId="7" borderId="0" xfId="1" applyNumberFormat="1" applyFont="1" applyBorder="1" applyAlignment="1">
      <alignment horizontal="centerContinuous" vertical="center"/>
    </xf>
    <xf numFmtId="0" fontId="3" fillId="4" borderId="0" xfId="0" applyFont="1" applyFill="1" applyAlignment="1">
      <alignment horizontal="right" vertical="center"/>
    </xf>
    <xf numFmtId="0" fontId="0" fillId="4" borderId="0" xfId="0" applyFill="1"/>
    <xf numFmtId="0" fontId="2" fillId="4" borderId="0" xfId="0" applyFont="1" applyFill="1" applyAlignment="1">
      <alignment vertical="center"/>
    </xf>
    <xf numFmtId="0" fontId="2" fillId="4" borderId="0" xfId="0" applyFont="1" applyFill="1" applyAlignment="1">
      <alignment horizontal="center" vertical="center"/>
    </xf>
    <xf numFmtId="0" fontId="0" fillId="4" borderId="0" xfId="0" applyFill="1" applyAlignment="1">
      <alignment horizontal="left" vertical="center"/>
    </xf>
    <xf numFmtId="0" fontId="5" fillId="4" borderId="0" xfId="0" applyFont="1" applyFill="1" applyAlignment="1">
      <alignment horizontal="center" vertical="center"/>
    </xf>
    <xf numFmtId="49" fontId="2" fillId="0" borderId="0" xfId="0" applyNumberFormat="1" applyFont="1" applyAlignment="1" applyProtection="1">
      <alignment horizontal="left" vertical="top" wrapText="1"/>
      <protection locked="0"/>
    </xf>
    <xf numFmtId="0" fontId="21" fillId="5" borderId="28" xfId="0" applyFont="1" applyFill="1" applyBorder="1"/>
    <xf numFmtId="49" fontId="4" fillId="12" borderId="19" xfId="0" applyNumberFormat="1" applyFont="1" applyFill="1" applyBorder="1" applyAlignment="1">
      <alignment horizontal="center" vertical="center"/>
    </xf>
    <xf numFmtId="49" fontId="24" fillId="0" borderId="1" xfId="0" applyNumberFormat="1" applyFont="1" applyBorder="1" applyAlignment="1">
      <alignment horizontal="left" vertical="center"/>
    </xf>
    <xf numFmtId="49" fontId="2" fillId="0" borderId="24" xfId="0" applyNumberFormat="1" applyFont="1" applyBorder="1"/>
    <xf numFmtId="0" fontId="2" fillId="9" borderId="6" xfId="0" applyFont="1" applyFill="1" applyBorder="1" applyAlignment="1">
      <alignment horizontal="center" vertical="center"/>
    </xf>
    <xf numFmtId="0" fontId="3" fillId="0" borderId="29" xfId="0" applyFont="1" applyBorder="1" applyAlignment="1">
      <alignment horizontal="right" vertical="center"/>
    </xf>
    <xf numFmtId="22" fontId="0" fillId="0" borderId="0" xfId="0" applyNumberFormat="1"/>
    <xf numFmtId="49" fontId="24" fillId="0" borderId="2" xfId="0" applyNumberFormat="1" applyFont="1" applyBorder="1" applyAlignment="1" applyProtection="1">
      <alignment horizontal="left" vertical="center"/>
      <protection locked="0"/>
    </xf>
    <xf numFmtId="0" fontId="2" fillId="0" borderId="0" xfId="0" applyFont="1" applyAlignment="1" applyProtection="1">
      <alignment horizontal="left" vertical="top" wrapText="1"/>
      <protection locked="0"/>
    </xf>
    <xf numFmtId="49" fontId="24" fillId="0" borderId="1" xfId="0" applyNumberFormat="1" applyFont="1" applyBorder="1" applyAlignment="1">
      <alignment horizontal="center" vertical="center"/>
    </xf>
    <xf numFmtId="49" fontId="12" fillId="9" borderId="6" xfId="0" applyNumberFormat="1" applyFont="1" applyFill="1" applyBorder="1"/>
    <xf numFmtId="49" fontId="27" fillId="0" borderId="0" xfId="0" applyNumberFormat="1" applyFont="1"/>
    <xf numFmtId="11" fontId="26" fillId="0" borderId="0" xfId="0" applyNumberFormat="1" applyFont="1"/>
    <xf numFmtId="0" fontId="1" fillId="8" borderId="6" xfId="0" applyFont="1" applyFill="1" applyBorder="1"/>
    <xf numFmtId="0" fontId="1" fillId="8" borderId="7" xfId="0" applyFont="1" applyFill="1" applyBorder="1"/>
    <xf numFmtId="0" fontId="1" fillId="8" borderId="8" xfId="0" applyFont="1" applyFill="1" applyBorder="1"/>
    <xf numFmtId="49" fontId="27" fillId="9" borderId="30" xfId="0" applyNumberFormat="1" applyFont="1" applyFill="1" applyBorder="1"/>
    <xf numFmtId="0" fontId="2" fillId="9" borderId="31" xfId="0" applyFont="1" applyFill="1" applyBorder="1" applyAlignment="1">
      <alignment horizontal="center"/>
    </xf>
    <xf numFmtId="0" fontId="2" fillId="9" borderId="31" xfId="0" applyFont="1" applyFill="1" applyBorder="1"/>
    <xf numFmtId="49" fontId="0" fillId="9" borderId="31" xfId="0" applyNumberFormat="1" applyFill="1" applyBorder="1"/>
    <xf numFmtId="0" fontId="2" fillId="9" borderId="24" xfId="0" applyFont="1" applyFill="1" applyBorder="1"/>
    <xf numFmtId="0" fontId="6" fillId="7" borderId="18" xfId="1" applyNumberFormat="1" applyFont="1" applyBorder="1" applyAlignment="1">
      <alignment horizontal="centerContinuous" vertical="center"/>
    </xf>
    <xf numFmtId="0" fontId="6" fillId="7" borderId="0" xfId="1" applyNumberFormat="1" applyFont="1" applyBorder="1" applyAlignment="1">
      <alignment horizontal="centerContinuous" vertical="center"/>
    </xf>
    <xf numFmtId="2" fontId="2" fillId="9" borderId="31" xfId="0" applyNumberFormat="1" applyFont="1" applyFill="1" applyBorder="1"/>
    <xf numFmtId="165" fontId="2" fillId="9" borderId="31" xfId="0" applyNumberFormat="1" applyFont="1" applyFill="1" applyBorder="1"/>
    <xf numFmtId="0" fontId="25" fillId="8" borderId="7" xfId="0" applyFont="1" applyFill="1" applyBorder="1" applyAlignment="1">
      <alignment horizontal="left" vertical="center"/>
    </xf>
    <xf numFmtId="0" fontId="2" fillId="9" borderId="7" xfId="0" applyFont="1" applyFill="1" applyBorder="1"/>
    <xf numFmtId="0" fontId="2" fillId="9" borderId="32" xfId="0" applyFont="1" applyFill="1" applyBorder="1"/>
    <xf numFmtId="49" fontId="2" fillId="9" borderId="6" xfId="0" applyNumberFormat="1" applyFont="1" applyFill="1" applyBorder="1"/>
    <xf numFmtId="0" fontId="35" fillId="8" borderId="7" xfId="0" applyFont="1" applyFill="1" applyBorder="1" applyAlignment="1">
      <alignment horizontal="left" vertical="center"/>
    </xf>
    <xf numFmtId="0" fontId="27" fillId="9" borderId="7" xfId="0" applyFont="1" applyFill="1" applyBorder="1"/>
    <xf numFmtId="22" fontId="25" fillId="8" borderId="6" xfId="0" applyNumberFormat="1" applyFont="1" applyFill="1" applyBorder="1" applyAlignment="1">
      <alignment horizontal="left" vertical="center"/>
    </xf>
    <xf numFmtId="0" fontId="2" fillId="13" borderId="0" xfId="0" applyFont="1" applyFill="1"/>
    <xf numFmtId="0" fontId="1" fillId="8" borderId="10" xfId="0" applyFont="1" applyFill="1" applyBorder="1" applyAlignment="1">
      <alignment horizontal="left" vertical="center"/>
    </xf>
    <xf numFmtId="0" fontId="1" fillId="8" borderId="12" xfId="0" applyFont="1" applyFill="1" applyBorder="1" applyAlignment="1">
      <alignment horizontal="left" vertical="center"/>
    </xf>
    <xf numFmtId="0" fontId="25" fillId="8" borderId="32" xfId="0" applyFont="1" applyFill="1" applyBorder="1" applyAlignment="1">
      <alignment horizontal="left" vertical="center"/>
    </xf>
    <xf numFmtId="0" fontId="6" fillId="7" borderId="18" xfId="1" applyNumberFormat="1" applyFont="1" applyBorder="1" applyAlignment="1">
      <alignment horizontal="center" vertical="center"/>
    </xf>
    <xf numFmtId="0" fontId="6" fillId="7" borderId="0" xfId="1" applyNumberFormat="1" applyFont="1" applyBorder="1" applyAlignment="1">
      <alignment horizontal="center" vertical="center"/>
    </xf>
    <xf numFmtId="0" fontId="13" fillId="7" borderId="11" xfId="1" applyNumberFormat="1" applyFont="1" applyBorder="1" applyAlignment="1">
      <alignment horizontal="center"/>
    </xf>
    <xf numFmtId="0" fontId="13" fillId="7" borderId="0" xfId="1" applyNumberFormat="1" applyFont="1" applyBorder="1" applyAlignment="1">
      <alignment horizontal="center"/>
    </xf>
    <xf numFmtId="0" fontId="14" fillId="0" borderId="13" xfId="2" applyFont="1" applyBorder="1" applyAlignment="1">
      <alignment horizontal="center" vertical="center"/>
    </xf>
    <xf numFmtId="0" fontId="14" fillId="0" borderId="15" xfId="2" applyFont="1" applyBorder="1" applyAlignment="1">
      <alignment horizontal="center" vertical="center"/>
    </xf>
    <xf numFmtId="0" fontId="0" fillId="0" borderId="0" xfId="0" applyAlignment="1">
      <alignment horizontal="center"/>
    </xf>
  </cellXfs>
  <cellStyles count="6">
    <cellStyle name="60% - Accent2" xfId="1" builtinId="36"/>
    <cellStyle name="Millares 2" xfId="5" xr:uid="{00000000-0005-0000-0000-000003000000}"/>
    <cellStyle name="Normal" xfId="0" builtinId="0"/>
    <cellStyle name="Normal 2" xfId="3" xr:uid="{00000000-0005-0000-0000-000005000000}"/>
    <cellStyle name="Normal_EIT-450NV" xfId="2" xr:uid="{00000000-0005-0000-0000-000006000000}"/>
    <cellStyle name="Porcentaje 2" xfId="4" xr:uid="{00000000-0005-0000-0000-000007000000}"/>
  </cellStyles>
  <dxfs count="476">
    <dxf>
      <font>
        <b val="0"/>
        <i val="0"/>
        <strike val="0"/>
        <condense val="0"/>
        <extend val="0"/>
        <outline val="0"/>
        <shadow val="0"/>
        <u val="none"/>
        <vertAlign val="baseline"/>
        <sz val="11"/>
        <color theme="1"/>
        <name val="Calibri"/>
        <family val="2"/>
        <scheme val="minor"/>
      </font>
    </dxf>
    <dxf>
      <font>
        <b val="0"/>
        <i val="0"/>
        <strike val="0"/>
        <condense val="0"/>
        <extend val="0"/>
        <outline val="0"/>
        <shadow val="0"/>
        <u val="none"/>
        <vertAlign val="baseline"/>
        <sz val="11"/>
        <color theme="1"/>
        <name val="Calibri"/>
        <family val="2"/>
        <scheme val="minor"/>
      </font>
    </dxf>
    <dxf>
      <border outline="0">
        <top style="medium">
          <color theme="1"/>
        </top>
        <bottom style="medium">
          <color theme="1"/>
        </bottom>
      </border>
    </dxf>
    <dxf>
      <font>
        <b val="0"/>
        <i val="0"/>
        <strike val="0"/>
        <condense val="0"/>
        <extend val="0"/>
        <outline val="0"/>
        <shadow val="0"/>
        <u val="none"/>
        <vertAlign val="baseline"/>
        <sz val="11"/>
        <color theme="1"/>
        <name val="Calibri"/>
        <family val="2"/>
        <scheme val="minor"/>
      </font>
    </dxf>
    <dxf>
      <border outline="0">
        <bottom style="medium">
          <color theme="1"/>
        </bottom>
      </border>
    </dxf>
    <dxf>
      <font>
        <b/>
        <i val="0"/>
        <strike val="0"/>
        <condense val="0"/>
        <extend val="0"/>
        <outline val="0"/>
        <shadow val="0"/>
        <u val="none"/>
        <vertAlign val="baseline"/>
        <sz val="11"/>
        <color theme="0"/>
        <name val="Calibri"/>
        <family val="2"/>
        <scheme val="minor"/>
      </font>
      <fill>
        <patternFill patternType="solid">
          <fgColor theme="8"/>
          <bgColor theme="8"/>
        </patternFill>
      </fill>
      <alignment horizontal="left" vertical="center" textRotation="0" wrapText="0" indent="0" justifyLastLine="0" shrinkToFit="0" readingOrder="0"/>
    </dxf>
    <dxf>
      <border outline="0">
        <top style="medium">
          <color theme="1"/>
        </top>
        <bottom style="medium">
          <color theme="1"/>
        </bottom>
      </border>
    </dxf>
    <dxf>
      <numFmt numFmtId="15" formatCode="0.00E+00"/>
    </dxf>
    <dxf>
      <font>
        <strike val="0"/>
        <outline val="0"/>
        <shadow val="0"/>
        <u val="none"/>
        <vertAlign val="baseline"/>
        <sz val="10"/>
        <color theme="1"/>
        <name val="Consolas"/>
        <family val="3"/>
        <scheme val="none"/>
      </font>
    </dxf>
    <dxf>
      <alignment horizontal="left" vertical="center" textRotation="0" wrapText="0" indent="0" justifyLastLine="0" shrinkToFit="0" readingOrder="0"/>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0" formatCode="General"/>
    </dxf>
    <dxf>
      <numFmt numFmtId="164" formatCode="0.00000000"/>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numFmt numFmtId="30" formatCode="@"/>
    </dxf>
    <dxf>
      <font>
        <strike val="0"/>
        <outline val="0"/>
        <shadow val="0"/>
        <u val="none"/>
        <vertAlign val="baseline"/>
        <sz val="10"/>
        <color theme="1"/>
        <name val="Calibri"/>
        <scheme val="minor"/>
      </font>
      <numFmt numFmtId="0" formatCode="General"/>
      <alignment horizontal="center" vertical="center" textRotation="0" wrapText="0" indent="0" justifyLastLine="0" shrinkToFit="0" readingOrder="0"/>
    </dxf>
    <dxf>
      <font>
        <strike val="0"/>
        <outline val="0"/>
        <shadow val="0"/>
        <u val="none"/>
        <vertAlign val="baseline"/>
        <sz val="10"/>
        <color theme="1"/>
        <name val="Calibri"/>
        <scheme val="minor"/>
      </font>
      <numFmt numFmtId="0" formatCode="General"/>
      <alignment horizontal="general" vertical="center" textRotation="0" wrapText="0" indent="0" justifyLastLine="0" shrinkToFit="0" readingOrder="0"/>
      <protection locked="0" hidden="0"/>
    </dxf>
    <dxf>
      <numFmt numFmtId="0" formatCode="General"/>
    </dxf>
    <dxf>
      <numFmt numFmtId="0" formatCode="General"/>
    </dxf>
    <dxf>
      <font>
        <strike val="0"/>
        <outline val="0"/>
        <shadow val="0"/>
        <u val="none"/>
        <vertAlign val="baseline"/>
        <sz val="10"/>
        <color theme="1"/>
        <name val="Calibri"/>
        <scheme val="minor"/>
      </font>
      <numFmt numFmtId="0" formatCode="General"/>
      <alignment horizontal="center" vertical="center" textRotation="0" wrapText="0" indent="0" justifyLastLine="0" shrinkToFit="0" readingOrder="0"/>
    </dxf>
    <dxf>
      <font>
        <strike val="0"/>
        <outline val="0"/>
        <shadow val="0"/>
        <u val="none"/>
        <vertAlign val="baseline"/>
        <sz val="10"/>
        <color theme="1"/>
        <name val="Calibri"/>
        <scheme val="minor"/>
      </font>
      <numFmt numFmtId="0" formatCode="General"/>
      <alignment horizontal="general" vertical="center" textRotation="0" wrapText="0" indent="0" justifyLastLine="0" shrinkToFit="0" readingOrder="0"/>
      <protection locked="0" hidden="0"/>
    </dxf>
    <dxf>
      <numFmt numFmtId="0" formatCode="General"/>
    </dxf>
    <dxf>
      <numFmt numFmtId="0" formatCode="General"/>
    </dxf>
    <dxf>
      <font>
        <b val="0"/>
        <i val="0"/>
        <strike val="0"/>
        <condense val="0"/>
        <extend val="0"/>
        <outline val="0"/>
        <shadow val="0"/>
        <u val="none"/>
        <vertAlign val="baseline"/>
        <sz val="10"/>
        <color theme="1"/>
        <name val="Calibri"/>
        <scheme val="minor"/>
      </font>
      <numFmt numFmtId="0" formatCode="General"/>
      <fill>
        <patternFill patternType="solid">
          <fgColor theme="4" tint="0.79998168889431442"/>
          <bgColor theme="4" tint="0.79998168889431442"/>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0"/>
        <color theme="1"/>
        <name val="Calibri"/>
        <scheme val="minor"/>
      </font>
      <numFmt numFmtId="0" formatCode="General"/>
      <fill>
        <patternFill patternType="solid">
          <fgColor theme="4" tint="0.79998168889431442"/>
          <bgColor theme="4" tint="0.79998168889431442"/>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0"/>
        <color theme="1"/>
        <name val="Calibri"/>
        <scheme val="minor"/>
      </font>
      <numFmt numFmtId="0" formatCode="General"/>
      <fill>
        <patternFill patternType="solid">
          <fgColor theme="4" tint="0.79998168889431442"/>
          <bgColor theme="4" tint="0.79998168889431442"/>
        </patternFill>
      </fill>
      <border diagonalUp="0" diagonalDown="0" outline="0">
        <left/>
        <right/>
        <top style="thin">
          <color theme="4" tint="0.39997558519241921"/>
        </top>
        <bottom/>
      </border>
    </dxf>
    <dxf>
      <border outline="0">
        <left style="thin">
          <color theme="4" tint="0.39997558519241921"/>
        </left>
        <top style="thin">
          <color theme="4" tint="0.39997558519241921"/>
        </top>
        <bottom style="thin">
          <color theme="4" tint="0.39997558519241921"/>
        </bottom>
      </border>
    </dxf>
    <dxf>
      <numFmt numFmtId="0" formatCode="General"/>
    </dxf>
    <dxf>
      <numFmt numFmtId="0" formatCode="General"/>
    </dxf>
    <dxf>
      <numFmt numFmtId="30" formatCode="@"/>
    </dxf>
    <dxf>
      <numFmt numFmtId="30" formatCode="@"/>
    </dxf>
    <dxf>
      <numFmt numFmtId="0" formatCode="General"/>
    </dxf>
    <dxf>
      <numFmt numFmtId="30" formatCode="@"/>
    </dxf>
    <dxf>
      <numFmt numFmtId="30" formatCode="@"/>
    </dxf>
    <dxf>
      <font>
        <b val="0"/>
        <i val="0"/>
        <strike val="0"/>
        <condense val="0"/>
        <extend val="0"/>
        <outline val="0"/>
        <shadow val="0"/>
        <u val="none"/>
        <vertAlign val="baseline"/>
        <sz val="10"/>
        <color theme="1"/>
        <name val="Calibri"/>
        <family val="2"/>
        <scheme val="minor"/>
      </font>
      <numFmt numFmtId="30" formatCode="@"/>
      <fill>
        <patternFill patternType="solid">
          <fgColor theme="6" tint="0.79998168889431442"/>
          <bgColor theme="6" tint="0.79998168889431442"/>
        </patternFill>
      </fill>
      <border diagonalUp="0" diagonalDown="0">
        <left style="thin">
          <color theme="6" tint="0.39997558519241921"/>
        </left>
        <right/>
        <top style="thin">
          <color theme="6" tint="0.39997558519241921"/>
        </top>
        <bottom/>
        <vertical/>
        <horizontal/>
      </border>
    </dxf>
    <dxf>
      <font>
        <b val="0"/>
        <i val="0"/>
        <strike val="0"/>
        <condense val="0"/>
        <extend val="0"/>
        <outline val="0"/>
        <shadow val="0"/>
        <u val="none"/>
        <vertAlign val="baseline"/>
        <sz val="10"/>
        <color theme="1"/>
        <name val="Calibri"/>
        <family val="2"/>
        <scheme val="minor"/>
      </font>
      <fill>
        <patternFill patternType="solid">
          <fgColor theme="6" tint="0.79998168889431442"/>
          <bgColor theme="6" tint="0.79998168889431442"/>
        </patternFill>
      </fill>
      <border diagonalUp="0" diagonalDown="0">
        <left style="thin">
          <color theme="6" tint="0.39997558519241921"/>
        </left>
        <right/>
        <top style="thin">
          <color theme="6" tint="0.39997558519241921"/>
        </top>
        <bottom/>
        <vertical/>
        <horizontal/>
      </border>
    </dxf>
    <dxf>
      <font>
        <b val="0"/>
        <i val="0"/>
        <strike val="0"/>
        <condense val="0"/>
        <extend val="0"/>
        <outline val="0"/>
        <shadow val="0"/>
        <u val="none"/>
        <vertAlign val="baseline"/>
        <sz val="10"/>
        <color theme="1"/>
        <name val="Calibri"/>
        <family val="2"/>
        <scheme val="minor"/>
      </font>
      <fill>
        <patternFill patternType="solid">
          <fgColor theme="6" tint="0.79998168889431442"/>
          <bgColor theme="6" tint="0.79998168889431442"/>
        </patternFill>
      </fill>
      <border diagonalUp="0" diagonalDown="0">
        <left/>
        <right/>
        <top style="thin">
          <color theme="6" tint="0.39997558519241921"/>
        </top>
        <bottom/>
        <vertical/>
        <horizontal/>
      </border>
    </dxf>
    <dxf>
      <font>
        <b val="0"/>
        <i val="0"/>
        <strike val="0"/>
        <condense val="0"/>
        <extend val="0"/>
        <outline val="0"/>
        <shadow val="0"/>
        <u val="none"/>
        <vertAlign val="baseline"/>
        <sz val="10"/>
        <color theme="1"/>
        <name val="Calibri"/>
        <family val="2"/>
        <scheme val="minor"/>
      </font>
      <fill>
        <patternFill patternType="solid">
          <fgColor theme="6" tint="0.79998168889431442"/>
          <bgColor theme="6" tint="0.79998168889431442"/>
        </patternFill>
      </fill>
      <border diagonalUp="0" diagonalDown="0">
        <left/>
        <right/>
        <top style="thin">
          <color theme="6" tint="0.39997558519241921"/>
        </top>
        <bottom/>
        <vertical/>
        <horizontal/>
      </border>
    </dxf>
    <dxf>
      <border outline="0">
        <right style="thin">
          <color theme="6" tint="0.39997558519241921"/>
        </right>
      </border>
    </dxf>
    <dxf>
      <numFmt numFmtId="0" formatCode="General"/>
    </dxf>
    <dxf>
      <numFmt numFmtId="0" formatCode="General"/>
    </dxf>
    <dxf>
      <border outline="0">
        <top style="medium">
          <color theme="1"/>
        </top>
        <bottom style="medium">
          <color theme="1"/>
        </bottom>
      </border>
    </dxf>
    <dxf>
      <numFmt numFmtId="0" formatCode="General"/>
    </dxf>
    <dxf>
      <font>
        <strike val="0"/>
        <outline val="0"/>
        <shadow val="0"/>
        <u val="none"/>
        <vertAlign val="baseline"/>
        <sz val="10"/>
        <color theme="1"/>
        <name val="Calibri"/>
        <scheme val="minor"/>
      </font>
      <numFmt numFmtId="0" formatCode="General"/>
      <alignment horizontal="center" vertical="bottom" textRotation="0" wrapText="0" indent="0" justifyLastLine="0" shrinkToFit="0" readingOrder="0"/>
    </dxf>
    <dxf>
      <font>
        <strike val="0"/>
        <outline val="0"/>
        <shadow val="0"/>
        <u val="none"/>
        <vertAlign val="baseline"/>
        <sz val="10"/>
        <color theme="1"/>
        <name val="Calibri"/>
        <scheme val="minor"/>
      </font>
      <numFmt numFmtId="0" formatCode="General"/>
    </dxf>
    <dxf>
      <font>
        <strike val="0"/>
        <outline val="0"/>
        <shadow val="0"/>
        <u val="none"/>
        <vertAlign val="baseline"/>
        <sz val="10"/>
        <color theme="1"/>
        <name val="Calibri"/>
        <scheme val="minor"/>
      </font>
      <numFmt numFmtId="0" formatCode="General"/>
    </dxf>
    <dxf>
      <numFmt numFmtId="0" formatCode="General"/>
    </dxf>
    <dxf>
      <numFmt numFmtId="0" formatCode="General"/>
    </dxf>
    <dxf>
      <numFmt numFmtId="0" formatCode="General"/>
    </dxf>
    <dxf>
      <border outline="0">
        <top style="medium">
          <color theme="1"/>
        </top>
        <bottom style="medium">
          <color theme="1"/>
        </bottom>
      </border>
    </dxf>
    <dxf>
      <numFmt numFmtId="0" formatCode="General"/>
    </dxf>
    <dxf>
      <font>
        <strike val="0"/>
        <outline val="0"/>
        <shadow val="0"/>
        <u val="none"/>
        <vertAlign val="baseline"/>
        <sz val="10"/>
        <color theme="1"/>
        <name val="Calibri"/>
        <scheme val="minor"/>
      </font>
      <numFmt numFmtId="0" formatCode="General"/>
      <alignment horizontal="center" vertical="bottom" textRotation="0" wrapText="0" indent="0" justifyLastLine="0" shrinkToFit="0" readingOrder="0"/>
    </dxf>
    <dxf>
      <font>
        <strike val="0"/>
        <outline val="0"/>
        <shadow val="0"/>
        <u val="none"/>
        <vertAlign val="baseline"/>
        <sz val="10"/>
        <color theme="1"/>
        <name val="Calibri"/>
        <scheme val="minor"/>
      </font>
      <numFmt numFmtId="0" formatCode="General"/>
    </dxf>
    <dxf>
      <font>
        <strike val="0"/>
        <outline val="0"/>
        <shadow val="0"/>
        <u val="none"/>
        <vertAlign val="baseline"/>
        <sz val="10"/>
        <color theme="1"/>
        <name val="Calibri"/>
        <scheme val="minor"/>
      </font>
      <numFmt numFmtId="0" formatCode="General"/>
    </dxf>
    <dxf>
      <font>
        <b val="0"/>
        <i val="0"/>
        <strike val="0"/>
        <condense val="0"/>
        <extend val="0"/>
        <outline val="0"/>
        <shadow val="0"/>
        <u val="none"/>
        <vertAlign val="baseline"/>
        <sz val="10"/>
        <color auto="1"/>
        <name val="Calibri"/>
        <scheme val="minor"/>
      </font>
      <numFmt numFmtId="0" formatCode="General"/>
      <alignment horizontal="center" vertical="center" textRotation="0" wrapText="0" indent="0" justifyLastLine="0" shrinkToFit="0" readingOrder="0"/>
    </dxf>
    <dxf>
      <font>
        <b val="0"/>
        <i val="0"/>
        <strike val="0"/>
        <condense val="0"/>
        <extend val="0"/>
        <outline val="0"/>
        <shadow val="0"/>
        <u val="none"/>
        <vertAlign val="baseline"/>
        <sz val="10"/>
        <color auto="1"/>
        <name val="Calibri"/>
        <scheme val="minor"/>
      </font>
      <numFmt numFmtId="0" formatCode="General"/>
      <alignment horizontal="center" vertical="center" textRotation="0" wrapText="0" indent="0" justifyLastLine="0" shrinkToFit="0" readingOrder="0"/>
    </dxf>
    <dxf>
      <font>
        <b val="0"/>
        <i val="0"/>
        <strike val="0"/>
        <condense val="0"/>
        <extend val="0"/>
        <outline val="0"/>
        <shadow val="0"/>
        <u val="none"/>
        <vertAlign val="baseline"/>
        <sz val="10"/>
        <color auto="1"/>
        <name val="Calibri"/>
        <scheme val="minor"/>
      </font>
      <numFmt numFmtId="0" formatCode="General"/>
    </dxf>
    <dxf>
      <font>
        <strike val="0"/>
        <outline val="0"/>
        <shadow val="0"/>
        <u val="none"/>
        <vertAlign val="baseline"/>
        <sz val="10"/>
        <color theme="1"/>
        <name val="Calibri"/>
        <scheme val="minor"/>
      </font>
      <numFmt numFmtId="0" formatCode="General"/>
      <alignment horizontal="center" vertical="bottom" textRotation="0" wrapText="0" indent="0" justifyLastLine="0" shrinkToFit="0" readingOrder="0"/>
    </dxf>
    <dxf>
      <font>
        <strike val="0"/>
        <outline val="0"/>
        <shadow val="0"/>
        <u val="none"/>
        <vertAlign val="baseline"/>
        <sz val="10"/>
        <color theme="1"/>
        <name val="Calibri"/>
        <scheme val="minor"/>
      </font>
      <numFmt numFmtId="0" formatCode="General"/>
    </dxf>
    <dxf>
      <font>
        <strike val="0"/>
        <outline val="0"/>
        <shadow val="0"/>
        <u val="none"/>
        <vertAlign val="baseline"/>
        <sz val="10"/>
        <color theme="1"/>
        <name val="Calibri"/>
        <scheme val="minor"/>
      </font>
      <numFmt numFmtId="0" formatCode="General"/>
    </dxf>
    <dxf>
      <font>
        <strike val="0"/>
        <outline val="0"/>
        <shadow val="0"/>
        <u val="none"/>
        <vertAlign val="baseline"/>
        <sz val="10"/>
        <color theme="1"/>
        <name val="Calibri"/>
        <scheme val="minor"/>
      </font>
      <numFmt numFmtId="0" formatCode="General"/>
      <alignment horizontal="center" vertical="center" textRotation="0" wrapText="0" indent="0" justifyLastLine="0" shrinkToFit="0" readingOrder="0"/>
    </dxf>
    <dxf>
      <font>
        <strike val="0"/>
        <outline val="0"/>
        <shadow val="0"/>
        <u val="none"/>
        <vertAlign val="baseline"/>
        <sz val="10"/>
        <color theme="1"/>
        <name val="Calibri"/>
        <scheme val="minor"/>
      </font>
      <numFmt numFmtId="0" formatCode="General"/>
      <alignment horizontal="general" vertical="center" textRotation="0" wrapText="0" indent="0" justifyLastLine="0" shrinkToFit="0" readingOrder="0"/>
    </dxf>
    <dxf>
      <numFmt numFmtId="0" formatCode="General"/>
    </dxf>
    <dxf>
      <font>
        <strike val="0"/>
        <outline val="0"/>
        <shadow val="0"/>
        <u val="none"/>
        <vertAlign val="baseline"/>
        <sz val="10"/>
        <color theme="1"/>
        <name val="Calibri"/>
        <scheme val="minor"/>
      </font>
      <numFmt numFmtId="0" formatCode="General"/>
      <alignment horizontal="center" vertical="bottom" textRotation="0" wrapText="0" indent="0" justifyLastLine="0" shrinkToFit="0" readingOrder="0"/>
    </dxf>
    <dxf>
      <font>
        <strike val="0"/>
        <outline val="0"/>
        <shadow val="0"/>
        <u val="none"/>
        <vertAlign val="baseline"/>
        <sz val="10"/>
        <color theme="1"/>
        <name val="Calibri"/>
        <scheme val="minor"/>
      </font>
      <numFmt numFmtId="0" formatCode="General"/>
    </dxf>
    <dxf>
      <font>
        <strike val="0"/>
        <outline val="0"/>
        <shadow val="0"/>
        <u val="none"/>
        <vertAlign val="baseline"/>
        <sz val="10"/>
        <color theme="1"/>
        <name val="Calibri"/>
        <scheme val="minor"/>
      </font>
      <numFmt numFmtId="0" formatCode="General"/>
    </dxf>
    <dxf>
      <numFmt numFmtId="0" formatCode="General"/>
    </dxf>
    <dxf>
      <numFmt numFmtId="0" formatCode="General"/>
    </dxf>
    <dxf>
      <border outline="0">
        <top style="medium">
          <color theme="1"/>
        </top>
        <bottom style="medium">
          <color theme="1"/>
        </bottom>
      </border>
    </dxf>
    <dxf>
      <numFmt numFmtId="0" formatCode="General"/>
    </dxf>
    <dxf>
      <numFmt numFmtId="0" formatCode="General"/>
    </dxf>
    <dxf>
      <numFmt numFmtId="0" formatCode="General"/>
    </dxf>
    <dxf>
      <border outline="0">
        <top style="medium">
          <color theme="1"/>
        </top>
        <bottom style="medium">
          <color theme="1"/>
        </bottom>
      </border>
    </dxf>
    <dxf>
      <numFmt numFmtId="0" formatCode="General"/>
    </dxf>
    <dxf>
      <numFmt numFmtId="0" formatCode="General"/>
    </dxf>
    <dxf>
      <numFmt numFmtId="0" formatCode="General"/>
    </dxf>
    <dxf>
      <border outline="0">
        <top style="medium">
          <color theme="1"/>
        </top>
        <bottom style="medium">
          <color theme="1"/>
        </bottom>
      </border>
    </dxf>
    <dxf>
      <numFmt numFmtId="0" formatCode="General"/>
    </dxf>
    <dxf>
      <numFmt numFmtId="0" formatCode="General"/>
    </dxf>
    <dxf>
      <numFmt numFmtId="0" formatCode="General"/>
    </dxf>
    <dxf>
      <border outline="0">
        <top style="medium">
          <color theme="1"/>
        </top>
        <bottom style="medium">
          <color theme="1"/>
        </bottom>
      </border>
    </dxf>
    <dxf>
      <numFmt numFmtId="0" formatCode="General"/>
    </dxf>
    <dxf>
      <font>
        <strike val="0"/>
        <outline val="0"/>
        <shadow val="0"/>
        <u val="none"/>
        <vertAlign val="baseline"/>
        <sz val="10"/>
        <color theme="1"/>
        <name val="Calibri"/>
        <scheme val="minor"/>
      </font>
      <numFmt numFmtId="0" formatCode="General"/>
      <alignment horizontal="center" vertical="bottom" textRotation="0" wrapText="0" indent="0" justifyLastLine="0" shrinkToFit="0" readingOrder="0"/>
    </dxf>
    <dxf>
      <font>
        <strike val="0"/>
        <outline val="0"/>
        <shadow val="0"/>
        <u val="none"/>
        <vertAlign val="baseline"/>
        <sz val="10"/>
        <color theme="1"/>
        <name val="Calibri"/>
        <scheme val="minor"/>
      </font>
      <numFmt numFmtId="0" formatCode="General"/>
    </dxf>
    <dxf>
      <font>
        <strike val="0"/>
        <outline val="0"/>
        <shadow val="0"/>
        <u val="none"/>
        <vertAlign val="baseline"/>
        <sz val="10"/>
        <color theme="1"/>
        <name val="Calibri"/>
        <scheme val="minor"/>
      </font>
      <numFmt numFmtId="0" formatCode="General"/>
    </dxf>
    <dxf>
      <numFmt numFmtId="0" formatCode="General"/>
    </dxf>
    <dxf>
      <numFmt numFmtId="0" formatCode="General"/>
    </dxf>
    <dxf>
      <border outline="0">
        <top style="medium">
          <color theme="1"/>
        </top>
        <bottom style="medium">
          <color theme="1"/>
        </bottom>
      </border>
    </dxf>
    <dxf>
      <numFmt numFmtId="0" formatCode="General"/>
    </dxf>
    <dxf>
      <numFmt numFmtId="0" formatCode="General"/>
    </dxf>
    <dxf>
      <font>
        <strike val="0"/>
        <outline val="0"/>
        <shadow val="0"/>
        <u val="none"/>
        <vertAlign val="baseline"/>
        <sz val="10"/>
        <color theme="1"/>
        <name val="Calibri"/>
        <scheme val="minor"/>
      </font>
      <numFmt numFmtId="30" formatCode="@"/>
      <alignment horizontal="center" vertical="center" textRotation="0" wrapText="0" indent="0" justifyLastLine="0" shrinkToFit="0" readingOrder="0"/>
    </dxf>
    <dxf>
      <font>
        <strike val="0"/>
        <outline val="0"/>
        <shadow val="0"/>
        <u val="none"/>
        <vertAlign val="baseline"/>
        <sz val="10"/>
        <color theme="1"/>
        <name val="Calibri"/>
        <scheme val="minor"/>
      </font>
      <numFmt numFmtId="30" formatCode="@"/>
      <alignment horizontal="general" vertical="center" textRotation="0" wrapText="0" indent="0" justifyLastLine="0" shrinkToFit="0" readingOrder="0"/>
    </dxf>
    <dxf>
      <font>
        <b val="0"/>
        <i val="0"/>
        <strike val="0"/>
        <condense val="0"/>
        <extend val="0"/>
        <outline val="0"/>
        <shadow val="0"/>
        <u val="none"/>
        <vertAlign val="baseline"/>
        <sz val="10"/>
        <color auto="1"/>
        <name val="Calibri"/>
        <scheme val="minor"/>
      </font>
      <numFmt numFmtId="0" formatCode="General"/>
      <alignment horizontal="center" vertical="center" textRotation="0" wrapText="0" indent="0" justifyLastLine="0" shrinkToFit="0" readingOrder="0"/>
    </dxf>
    <dxf>
      <font>
        <b val="0"/>
        <i val="0"/>
        <strike val="0"/>
        <condense val="0"/>
        <extend val="0"/>
        <outline val="0"/>
        <shadow val="0"/>
        <u val="none"/>
        <vertAlign val="baseline"/>
        <sz val="10"/>
        <color auto="1"/>
        <name val="Calibri"/>
        <scheme val="minor"/>
      </font>
      <numFmt numFmtId="0" formatCode="General"/>
      <alignment horizontal="center" vertical="center" textRotation="0" wrapText="0" indent="0" justifyLastLine="0" shrinkToFit="0" readingOrder="0"/>
    </dxf>
    <dxf>
      <font>
        <b val="0"/>
        <i val="0"/>
        <strike val="0"/>
        <condense val="0"/>
        <extend val="0"/>
        <outline val="0"/>
        <shadow val="0"/>
        <u val="none"/>
        <vertAlign val="baseline"/>
        <sz val="10"/>
        <color auto="1"/>
        <name val="Calibri"/>
        <scheme val="minor"/>
      </font>
      <numFmt numFmtId="0" formatCode="General"/>
    </dxf>
    <dxf>
      <font>
        <strike val="0"/>
        <outline val="0"/>
        <shadow val="0"/>
        <u val="none"/>
        <vertAlign val="baseline"/>
        <sz val="10"/>
        <color theme="1"/>
        <name val="Calibri"/>
        <scheme val="minor"/>
      </font>
      <numFmt numFmtId="0" formatCode="General"/>
      <alignment horizontal="center" vertical="bottom" textRotation="0" wrapText="0" indent="0" justifyLastLine="0" shrinkToFit="0" readingOrder="0"/>
    </dxf>
    <dxf>
      <font>
        <strike val="0"/>
        <outline val="0"/>
        <shadow val="0"/>
        <u val="none"/>
        <vertAlign val="baseline"/>
        <sz val="10"/>
        <color theme="1"/>
        <name val="Calibri"/>
        <scheme val="minor"/>
      </font>
      <numFmt numFmtId="0" formatCode="General"/>
    </dxf>
    <dxf>
      <font>
        <strike val="0"/>
        <outline val="0"/>
        <shadow val="0"/>
        <u val="none"/>
        <vertAlign val="baseline"/>
        <sz val="10"/>
        <color theme="1"/>
        <name val="Calibri"/>
        <scheme val="minor"/>
      </font>
      <numFmt numFmtId="0" formatCode="General"/>
    </dxf>
    <dxf>
      <numFmt numFmtId="0" formatCode="General"/>
    </dxf>
    <dxf>
      <font>
        <strike val="0"/>
        <outline val="0"/>
        <shadow val="0"/>
        <u val="none"/>
        <vertAlign val="baseline"/>
        <sz val="10"/>
        <color theme="1"/>
        <name val="Calibri"/>
        <scheme val="minor"/>
      </font>
      <numFmt numFmtId="0" formatCode="General"/>
      <alignment horizontal="center" vertical="center" textRotation="0" wrapText="0" indent="0" justifyLastLine="0" shrinkToFit="0" readingOrder="0"/>
    </dxf>
    <dxf>
      <font>
        <strike val="0"/>
        <outline val="0"/>
        <shadow val="0"/>
        <u val="none"/>
        <vertAlign val="baseline"/>
        <sz val="10"/>
        <color theme="1"/>
        <name val="Calibri"/>
        <scheme val="minor"/>
      </font>
      <numFmt numFmtId="0" formatCode="General"/>
      <alignment horizontal="general" vertical="center" textRotation="0" wrapText="0" indent="0" justifyLastLine="0" shrinkToFit="0" readingOrder="0"/>
    </dxf>
    <dxf>
      <numFmt numFmtId="0" formatCode="General"/>
    </dxf>
    <dxf>
      <numFmt numFmtId="0" formatCode="General"/>
    </dxf>
    <dxf>
      <numFmt numFmtId="0" formatCode="General"/>
    </dxf>
    <dxf>
      <numFmt numFmtId="0" formatCode="General"/>
    </dxf>
    <dxf>
      <border outline="0">
        <top style="medium">
          <color theme="1"/>
        </top>
        <bottom style="medium">
          <color theme="1"/>
        </bottom>
      </border>
    </dxf>
    <dxf>
      <numFmt numFmtId="0" formatCode="General"/>
    </dxf>
    <dxf>
      <font>
        <b val="0"/>
        <i val="0"/>
        <strike val="0"/>
        <condense val="0"/>
        <extend val="0"/>
        <outline val="0"/>
        <shadow val="0"/>
        <u val="none"/>
        <vertAlign val="baseline"/>
        <sz val="10"/>
        <color theme="1"/>
        <name val="Calibri"/>
        <scheme val="minor"/>
      </font>
      <numFmt numFmtId="0" formatCode="General"/>
      <alignment horizontal="center" vertical="center" textRotation="0" wrapText="0" indent="0" justifyLastLine="0" shrinkToFit="0" readingOrder="0"/>
    </dxf>
    <dxf>
      <numFmt numFmtId="0" formatCode="General"/>
    </dxf>
    <dxf>
      <numFmt numFmtId="0" formatCode="General"/>
    </dxf>
    <dxf>
      <numFmt numFmtId="0" formatCode="General"/>
    </dxf>
    <dxf>
      <font>
        <b val="0"/>
        <i val="0"/>
        <strike val="0"/>
        <condense val="0"/>
        <extend val="0"/>
        <outline val="0"/>
        <shadow val="0"/>
        <u val="none"/>
        <vertAlign val="baseline"/>
        <sz val="10"/>
        <color theme="1"/>
        <name val="Calibri"/>
        <scheme val="minor"/>
      </font>
      <numFmt numFmtId="0" formatCode="General"/>
      <alignment horizontal="center" vertical="center" textRotation="0" wrapText="0" indent="0" justifyLastLine="0" shrinkToFit="0" readingOrder="0"/>
    </dxf>
    <dxf>
      <font>
        <strike val="0"/>
        <outline val="0"/>
        <shadow val="0"/>
        <u val="none"/>
        <vertAlign val="baseline"/>
        <sz val="10"/>
        <color theme="1"/>
        <name val="Calibri"/>
        <family val="2"/>
        <scheme val="minor"/>
      </font>
      <numFmt numFmtId="0" formatCode="General"/>
    </dxf>
    <dxf>
      <numFmt numFmtId="0" formatCode="General"/>
    </dxf>
    <dxf>
      <numFmt numFmtId="0" formatCode="General"/>
    </dxf>
    <dxf>
      <font>
        <strike val="0"/>
        <outline val="0"/>
        <shadow val="0"/>
        <u val="none"/>
        <vertAlign val="baseline"/>
        <sz val="10"/>
        <color theme="1"/>
        <name val="Calibri"/>
        <scheme val="minor"/>
      </font>
      <numFmt numFmtId="0" formatCode="General"/>
      <alignment horizontal="center" vertical="center" textRotation="0" wrapText="0" indent="0" justifyLastLine="0" shrinkToFit="0" readingOrder="0"/>
    </dxf>
    <dxf>
      <numFmt numFmtId="0" formatCode="General"/>
    </dxf>
    <dxf>
      <numFmt numFmtId="0" formatCode="General"/>
    </dxf>
    <dxf>
      <numFmt numFmtId="0" formatCode="General"/>
    </dxf>
    <dxf>
      <font>
        <strike val="0"/>
        <outline val="0"/>
        <shadow val="0"/>
        <u val="none"/>
        <vertAlign val="baseline"/>
        <sz val="10"/>
        <color theme="1"/>
        <name val="Calibri"/>
        <scheme val="minor"/>
      </font>
      <numFmt numFmtId="0" formatCode="General"/>
      <alignment horizontal="center" vertical="center" textRotation="0" wrapText="0" indent="0" justifyLastLine="0" shrinkToFit="0" readingOrder="0"/>
    </dxf>
    <dxf>
      <font>
        <strike val="0"/>
        <outline val="0"/>
        <shadow val="0"/>
        <u val="none"/>
        <vertAlign val="baseline"/>
        <sz val="10"/>
        <color theme="1"/>
        <name val="Calibri"/>
        <scheme val="minor"/>
      </font>
      <numFmt numFmtId="0" formatCode="General"/>
      <alignment horizontal="general" vertical="center" textRotation="0" wrapText="0" indent="0" justifyLastLine="0" shrinkToFit="0" readingOrder="0"/>
    </dxf>
    <dxf>
      <numFmt numFmtId="0" formatCode="General"/>
    </dxf>
    <dxf>
      <numFmt numFmtId="0" formatCode="General"/>
    </dxf>
    <dxf>
      <numFmt numFmtId="0" formatCode="General"/>
    </dxf>
    <dxf>
      <numFmt numFmtId="0" formatCode="General"/>
    </dxf>
    <dxf>
      <border outline="0">
        <top style="medium">
          <color theme="1"/>
        </top>
        <bottom style="medium">
          <color theme="1"/>
        </bottom>
      </border>
    </dxf>
    <dxf>
      <numFmt numFmtId="0" formatCode="General"/>
    </dxf>
    <dxf>
      <font>
        <b val="0"/>
        <i val="0"/>
        <strike val="0"/>
        <condense val="0"/>
        <extend val="0"/>
        <outline val="0"/>
        <shadow val="0"/>
        <u val="none"/>
        <vertAlign val="baseline"/>
        <sz val="10"/>
        <color theme="1"/>
        <name val="Calibri"/>
        <scheme val="minor"/>
      </font>
      <numFmt numFmtId="0" formatCode="General"/>
      <alignment horizontal="center" vertical="center" textRotation="0" wrapText="0" indent="0" justifyLastLine="0" shrinkToFit="0" readingOrder="0"/>
    </dxf>
    <dxf>
      <numFmt numFmtId="0" formatCode="General"/>
    </dxf>
    <dxf>
      <numFmt numFmtId="0" formatCode="General"/>
    </dxf>
    <dxf>
      <numFmt numFmtId="0" formatCode="General"/>
    </dxf>
    <dxf>
      <font>
        <b val="0"/>
        <i val="0"/>
        <strike val="0"/>
        <condense val="0"/>
        <extend val="0"/>
        <outline val="0"/>
        <shadow val="0"/>
        <u val="none"/>
        <vertAlign val="baseline"/>
        <sz val="10"/>
        <color theme="1"/>
        <name val="Calibri"/>
        <scheme val="minor"/>
      </font>
      <numFmt numFmtId="0" formatCode="General"/>
      <alignment horizontal="center" vertical="center" textRotation="0" wrapText="0" indent="0" justifyLastLine="0" shrinkToFit="0" readingOrder="0"/>
    </dxf>
    <dxf>
      <font>
        <strike val="0"/>
        <outline val="0"/>
        <shadow val="0"/>
        <u val="none"/>
        <vertAlign val="baseline"/>
        <sz val="10"/>
        <color theme="1"/>
        <name val="Calibri"/>
        <family val="2"/>
        <scheme val="minor"/>
      </font>
      <numFmt numFmtId="0" formatCode="General"/>
    </dxf>
    <dxf>
      <numFmt numFmtId="0" formatCode="General"/>
    </dxf>
    <dxf>
      <numFmt numFmtId="0" formatCode="General"/>
    </dxf>
    <dxf>
      <font>
        <strike val="0"/>
        <outline val="0"/>
        <shadow val="0"/>
        <u val="none"/>
        <vertAlign val="baseline"/>
        <sz val="10"/>
        <color theme="1"/>
        <name val="Calibri"/>
        <scheme val="minor"/>
      </font>
      <numFmt numFmtId="0" formatCode="General"/>
      <alignment horizontal="center" vertical="center" textRotation="0" wrapText="0" indent="0" justifyLastLine="0" shrinkToFit="0" readingOrder="0"/>
    </dxf>
    <dxf>
      <numFmt numFmtId="0" formatCode="General"/>
    </dxf>
    <dxf>
      <numFmt numFmtId="0" formatCode="General"/>
    </dxf>
    <dxf>
      <numFmt numFmtId="0" formatCode="General"/>
    </dxf>
    <dxf>
      <font>
        <strike val="0"/>
        <outline val="0"/>
        <shadow val="0"/>
        <u val="none"/>
        <vertAlign val="baseline"/>
        <sz val="10"/>
        <color theme="1"/>
        <name val="Calibri"/>
        <scheme val="minor"/>
      </font>
      <numFmt numFmtId="0" formatCode="General"/>
      <alignment horizontal="center" vertical="center" textRotation="0" wrapText="0" indent="0" justifyLastLine="0" shrinkToFit="0" readingOrder="0"/>
    </dxf>
    <dxf>
      <font>
        <strike val="0"/>
        <outline val="0"/>
        <shadow val="0"/>
        <u val="none"/>
        <vertAlign val="baseline"/>
        <sz val="10"/>
        <color theme="1"/>
        <name val="Calibri"/>
        <scheme val="minor"/>
      </font>
      <numFmt numFmtId="0" formatCode="General"/>
      <alignment horizontal="general" vertical="center" textRotation="0" wrapText="0" indent="0" justifyLastLine="0" shrinkToFit="0" readingOrder="0"/>
    </dxf>
    <dxf>
      <numFmt numFmtId="0" formatCode="General"/>
    </dxf>
    <dxf>
      <numFmt numFmtId="0" formatCode="General"/>
    </dxf>
    <dxf>
      <numFmt numFmtId="0" formatCode="General"/>
    </dxf>
    <dxf>
      <numFmt numFmtId="0" formatCode="General"/>
    </dxf>
    <dxf>
      <border outline="0">
        <top style="medium">
          <color theme="1"/>
        </top>
        <bottom style="medium">
          <color theme="1"/>
        </bottom>
      </border>
    </dxf>
    <dxf>
      <numFmt numFmtId="0" formatCode="General"/>
    </dxf>
    <dxf>
      <font>
        <b val="0"/>
        <i val="0"/>
        <strike val="0"/>
        <condense val="0"/>
        <extend val="0"/>
        <outline val="0"/>
        <shadow val="0"/>
        <u val="none"/>
        <vertAlign val="baseline"/>
        <sz val="10"/>
        <color theme="1"/>
        <name val="Calibri"/>
        <scheme val="minor"/>
      </font>
      <numFmt numFmtId="0" formatCode="General"/>
      <alignment horizontal="center" vertical="center" textRotation="0" wrapText="0" indent="0" justifyLastLine="0" shrinkToFit="0" readingOrder="0"/>
    </dxf>
    <dxf>
      <numFmt numFmtId="0" formatCode="General"/>
    </dxf>
    <dxf>
      <numFmt numFmtId="0" formatCode="General"/>
    </dxf>
    <dxf>
      <numFmt numFmtId="0" formatCode="General"/>
    </dxf>
    <dxf>
      <font>
        <b val="0"/>
        <i val="0"/>
        <strike val="0"/>
        <condense val="0"/>
        <extend val="0"/>
        <outline val="0"/>
        <shadow val="0"/>
        <u val="none"/>
        <vertAlign val="baseline"/>
        <sz val="10"/>
        <color theme="1"/>
        <name val="Calibri"/>
        <scheme val="minor"/>
      </font>
      <numFmt numFmtId="0" formatCode="General"/>
      <alignment horizontal="center" vertical="center" textRotation="0" wrapText="0" indent="0" justifyLastLine="0" shrinkToFit="0" readingOrder="0"/>
    </dxf>
    <dxf>
      <font>
        <strike val="0"/>
        <outline val="0"/>
        <shadow val="0"/>
        <u val="none"/>
        <vertAlign val="baseline"/>
        <sz val="10"/>
        <color theme="1"/>
        <name val="Calibri"/>
        <family val="2"/>
        <scheme val="minor"/>
      </font>
      <numFmt numFmtId="0" formatCode="General"/>
    </dxf>
    <dxf>
      <numFmt numFmtId="0" formatCode="General"/>
    </dxf>
    <dxf>
      <numFmt numFmtId="0" formatCode="General"/>
    </dxf>
    <dxf>
      <font>
        <strike val="0"/>
        <outline val="0"/>
        <shadow val="0"/>
        <u val="none"/>
        <vertAlign val="baseline"/>
        <sz val="10"/>
        <color theme="1"/>
        <name val="Calibri"/>
        <scheme val="minor"/>
      </font>
      <numFmt numFmtId="0" formatCode="General"/>
      <alignment horizontal="center" vertical="center" textRotation="0" wrapText="0" indent="0" justifyLastLine="0" shrinkToFit="0" readingOrder="0"/>
    </dxf>
    <dxf>
      <numFmt numFmtId="0" formatCode="General"/>
    </dxf>
    <dxf>
      <numFmt numFmtId="0" formatCode="General"/>
    </dxf>
    <dxf>
      <numFmt numFmtId="0" formatCode="General"/>
    </dxf>
    <dxf>
      <font>
        <strike val="0"/>
        <outline val="0"/>
        <shadow val="0"/>
        <u val="none"/>
        <vertAlign val="baseline"/>
        <sz val="10"/>
        <color theme="1"/>
        <name val="Calibri"/>
        <scheme val="minor"/>
      </font>
      <numFmt numFmtId="0" formatCode="General"/>
      <alignment horizontal="center" vertical="center" textRotation="0" wrapText="0" indent="0" justifyLastLine="0" shrinkToFit="0" readingOrder="0"/>
    </dxf>
    <dxf>
      <font>
        <strike val="0"/>
        <outline val="0"/>
        <shadow val="0"/>
        <u val="none"/>
        <vertAlign val="baseline"/>
        <sz val="10"/>
        <color theme="1"/>
        <name val="Calibri"/>
        <scheme val="minor"/>
      </font>
      <numFmt numFmtId="0" formatCode="General"/>
      <alignment horizontal="general" vertical="center" textRotation="0" wrapText="0" indent="0" justifyLastLine="0" shrinkToFit="0" readingOrder="0"/>
    </dxf>
    <dxf>
      <numFmt numFmtId="0" formatCode="General"/>
    </dxf>
    <dxf>
      <numFmt numFmtId="0" formatCode="General"/>
    </dxf>
    <dxf>
      <font>
        <strike val="0"/>
        <outline val="0"/>
        <shadow val="0"/>
        <u val="none"/>
        <vertAlign val="baseline"/>
        <sz val="10"/>
        <color theme="1"/>
        <name val="Calibri"/>
        <scheme val="minor"/>
      </font>
      <numFmt numFmtId="0" formatCode="General"/>
    </dxf>
    <dxf>
      <font>
        <strike val="0"/>
        <outline val="0"/>
        <shadow val="0"/>
        <u val="none"/>
        <vertAlign val="baseline"/>
        <sz val="10"/>
        <color theme="1"/>
        <name val="Calibri"/>
        <scheme val="minor"/>
      </font>
      <numFmt numFmtId="0" formatCode="General"/>
    </dxf>
    <dxf>
      <font>
        <strike val="0"/>
        <outline val="0"/>
        <shadow val="0"/>
        <u val="none"/>
        <vertAlign val="baseline"/>
        <sz val="10"/>
        <color theme="1"/>
        <name val="Calibri"/>
        <scheme val="minor"/>
      </font>
      <numFmt numFmtId="0" formatCode="General"/>
    </dxf>
    <dxf>
      <font>
        <strike val="0"/>
        <outline val="0"/>
        <shadow val="0"/>
        <u val="none"/>
        <vertAlign val="baseline"/>
        <sz val="10"/>
        <color theme="1"/>
        <name val="Calibri"/>
        <scheme val="minor"/>
      </font>
      <numFmt numFmtId="0" formatCode="General"/>
    </dxf>
    <dxf>
      <font>
        <strike val="0"/>
        <outline val="0"/>
        <shadow val="0"/>
        <u val="none"/>
        <vertAlign val="baseline"/>
        <sz val="10"/>
        <color theme="1"/>
        <name val="Calibri"/>
        <scheme val="minor"/>
      </font>
      <numFmt numFmtId="0" formatCode="General"/>
      <alignment horizontal="center" vertical="bottom" textRotation="0" wrapText="0" indent="0" justifyLastLine="0" shrinkToFit="0" readingOrder="0"/>
    </dxf>
    <dxf>
      <font>
        <i/>
        <strike val="0"/>
        <outline val="0"/>
        <shadow val="0"/>
        <u val="none"/>
        <vertAlign val="baseline"/>
        <sz val="10"/>
        <color theme="1"/>
        <name val="Calibri"/>
        <scheme val="minor"/>
      </font>
      <numFmt numFmtId="0" formatCode="General"/>
    </dxf>
    <dxf>
      <font>
        <strike val="0"/>
        <outline val="0"/>
        <shadow val="0"/>
        <u val="none"/>
        <vertAlign val="baseline"/>
        <sz val="10"/>
        <color theme="1"/>
        <name val="Calibri"/>
        <scheme val="minor"/>
      </font>
      <numFmt numFmtId="0" formatCode="General"/>
    </dxf>
    <dxf>
      <numFmt numFmtId="0" formatCode="General"/>
    </dxf>
    <dxf>
      <numFmt numFmtId="0" formatCode="General"/>
    </dxf>
    <dxf>
      <numFmt numFmtId="0" formatCode="General"/>
    </dxf>
    <dxf>
      <border outline="0">
        <top style="medium">
          <color theme="1"/>
        </top>
        <bottom style="medium">
          <color theme="1"/>
        </bottom>
      </border>
    </dxf>
    <dxf>
      <numFmt numFmtId="0" formatCode="General"/>
    </dxf>
    <dxf>
      <font>
        <b val="0"/>
        <i val="0"/>
        <strike val="0"/>
        <condense val="0"/>
        <extend val="0"/>
        <outline val="0"/>
        <shadow val="0"/>
        <u val="none"/>
        <vertAlign val="baseline"/>
        <sz val="10"/>
        <color theme="1"/>
        <name val="Calibri"/>
        <scheme val="minor"/>
      </font>
      <numFmt numFmtId="0" formatCode="General"/>
      <alignment horizontal="center" vertical="center" textRotation="0" wrapText="0" indent="0" justifyLastLine="0" shrinkToFit="0" readingOrder="0"/>
    </dxf>
    <dxf>
      <numFmt numFmtId="0" formatCode="General"/>
    </dxf>
    <dxf>
      <numFmt numFmtId="0" formatCode="General"/>
    </dxf>
    <dxf>
      <numFmt numFmtId="0" formatCode="General"/>
    </dxf>
    <dxf>
      <font>
        <b val="0"/>
        <i val="0"/>
        <strike val="0"/>
        <condense val="0"/>
        <extend val="0"/>
        <outline val="0"/>
        <shadow val="0"/>
        <u val="none"/>
        <vertAlign val="baseline"/>
        <sz val="10"/>
        <color theme="1"/>
        <name val="Calibri"/>
        <scheme val="minor"/>
      </font>
      <numFmt numFmtId="0" formatCode="General"/>
      <alignment horizontal="center" vertical="center" textRotation="0" wrapText="0" indent="0" justifyLastLine="0" shrinkToFit="0" readingOrder="0"/>
    </dxf>
    <dxf>
      <numFmt numFmtId="0" formatCode="General"/>
    </dxf>
    <dxf>
      <numFmt numFmtId="0" formatCode="General"/>
    </dxf>
    <dxf>
      <numFmt numFmtId="0" formatCode="General"/>
    </dxf>
    <dxf>
      <font>
        <strike val="0"/>
        <outline val="0"/>
        <shadow val="0"/>
        <u val="none"/>
        <vertAlign val="baseline"/>
        <sz val="10"/>
        <color theme="1"/>
        <name val="Calibri"/>
        <scheme val="minor"/>
      </font>
      <numFmt numFmtId="0" formatCode="General"/>
      <alignment horizontal="center" vertical="center" textRotation="0" wrapText="0" indent="0" justifyLastLine="0" shrinkToFit="0" readingOrder="0"/>
    </dxf>
    <dxf>
      <numFmt numFmtId="0" formatCode="General"/>
    </dxf>
    <dxf>
      <numFmt numFmtId="0" formatCode="General"/>
    </dxf>
    <dxf>
      <numFmt numFmtId="0" formatCode="General"/>
    </dxf>
    <dxf>
      <font>
        <strike val="0"/>
        <outline val="0"/>
        <shadow val="0"/>
        <u val="none"/>
        <vertAlign val="baseline"/>
        <sz val="10"/>
        <color theme="1"/>
        <name val="Calibri"/>
        <scheme val="minor"/>
      </font>
      <numFmt numFmtId="0" formatCode="General"/>
      <alignment horizontal="center" vertical="center" textRotation="0" wrapText="0" indent="0" justifyLastLine="0" shrinkToFit="0" readingOrder="0"/>
    </dxf>
    <dxf>
      <font>
        <strike val="0"/>
        <outline val="0"/>
        <shadow val="0"/>
        <u val="none"/>
        <vertAlign val="baseline"/>
        <sz val="10"/>
        <color theme="1"/>
        <name val="Calibri"/>
        <scheme val="minor"/>
      </font>
      <numFmt numFmtId="0" formatCode="General"/>
      <alignment horizontal="general" vertical="center" textRotation="0" wrapText="0" indent="0" justifyLastLine="0" shrinkToFit="0" readingOrder="0"/>
    </dxf>
    <dxf>
      <numFmt numFmtId="0" formatCode="General"/>
    </dxf>
    <dxf>
      <numFmt numFmtId="0" formatCode="General"/>
    </dxf>
    <dxf>
      <numFmt numFmtId="0" formatCode="General"/>
    </dxf>
    <dxf>
      <numFmt numFmtId="0" formatCode="General"/>
    </dxf>
    <dxf>
      <border outline="0">
        <top style="medium">
          <color theme="1"/>
        </top>
        <bottom style="medium">
          <color theme="1"/>
        </bottom>
      </border>
    </dxf>
    <dxf>
      <numFmt numFmtId="0" formatCode="General"/>
    </dxf>
    <dxf>
      <numFmt numFmtId="0" formatCode="General"/>
    </dxf>
    <dxf>
      <font>
        <b val="0"/>
        <i val="0"/>
        <strike val="0"/>
        <condense val="0"/>
        <extend val="0"/>
        <outline val="0"/>
        <shadow val="0"/>
        <u val="none"/>
        <vertAlign val="baseline"/>
        <sz val="10"/>
        <color theme="1"/>
        <name val="Calibri"/>
        <scheme val="minor"/>
      </font>
      <numFmt numFmtId="0" formatCode="General"/>
      <alignment horizontal="center" vertical="center" textRotation="0" wrapText="0" indent="0" justifyLastLine="0" shrinkToFit="0" readingOrder="0"/>
    </dxf>
    <dxf>
      <numFmt numFmtId="0" formatCode="General"/>
    </dxf>
    <dxf>
      <numFmt numFmtId="0" formatCode="General"/>
    </dxf>
    <dxf>
      <numFmt numFmtId="0" formatCode="General"/>
    </dxf>
    <dxf>
      <font>
        <b val="0"/>
        <i val="0"/>
        <strike val="0"/>
        <condense val="0"/>
        <extend val="0"/>
        <outline val="0"/>
        <shadow val="0"/>
        <u val="none"/>
        <vertAlign val="baseline"/>
        <sz val="10"/>
        <color theme="1"/>
        <name val="Calibri"/>
        <scheme val="minor"/>
      </font>
      <numFmt numFmtId="0" formatCode="General"/>
      <alignment horizontal="center" vertical="center" textRotation="0" wrapText="0" indent="0" justifyLastLine="0" shrinkToFit="0" readingOrder="0"/>
    </dxf>
    <dxf>
      <font>
        <strike val="0"/>
        <outline val="0"/>
        <shadow val="0"/>
        <u val="none"/>
        <vertAlign val="baseline"/>
        <sz val="10"/>
        <color theme="1"/>
        <name val="Calibri"/>
        <family val="2"/>
        <scheme val="minor"/>
      </font>
      <numFmt numFmtId="0" formatCode="General"/>
    </dxf>
    <dxf>
      <numFmt numFmtId="0" formatCode="General"/>
    </dxf>
    <dxf>
      <numFmt numFmtId="0" formatCode="General"/>
    </dxf>
    <dxf>
      <font>
        <strike val="0"/>
        <outline val="0"/>
        <shadow val="0"/>
        <u val="none"/>
        <vertAlign val="baseline"/>
        <sz val="10"/>
        <color theme="1"/>
        <name val="Calibri"/>
        <scheme val="minor"/>
      </font>
      <numFmt numFmtId="0" formatCode="General"/>
      <alignment horizontal="center" vertical="center" textRotation="0" wrapText="0" indent="0" justifyLastLine="0" shrinkToFit="0" readingOrder="0"/>
    </dxf>
    <dxf>
      <numFmt numFmtId="0" formatCode="General"/>
    </dxf>
    <dxf>
      <numFmt numFmtId="0" formatCode="General"/>
    </dxf>
    <dxf>
      <numFmt numFmtId="0" formatCode="General"/>
    </dxf>
    <dxf>
      <font>
        <strike val="0"/>
        <outline val="0"/>
        <shadow val="0"/>
        <u val="none"/>
        <vertAlign val="baseline"/>
        <sz val="10"/>
        <color theme="1"/>
        <name val="Calibri"/>
        <scheme val="minor"/>
      </font>
      <numFmt numFmtId="0" formatCode="General"/>
      <alignment horizontal="center" vertical="center" textRotation="0" wrapText="0" indent="0" justifyLastLine="0" shrinkToFit="0" readingOrder="0"/>
    </dxf>
    <dxf>
      <font>
        <strike val="0"/>
        <outline val="0"/>
        <shadow val="0"/>
        <u val="none"/>
        <vertAlign val="baseline"/>
        <sz val="10"/>
        <color theme="1"/>
        <name val="Calibri"/>
        <scheme val="minor"/>
      </font>
      <numFmt numFmtId="0" formatCode="General"/>
      <alignment horizontal="general" vertical="center"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strike val="0"/>
        <outline val="0"/>
        <shadow val="0"/>
        <u val="none"/>
        <vertAlign val="baseline"/>
        <sz val="10"/>
        <color theme="1"/>
        <name val="Calibri"/>
        <scheme val="minor"/>
      </font>
      <numFmt numFmtId="0" formatCode="General"/>
      <alignment horizontal="center" vertical="center" textRotation="0" wrapText="0" indent="0" justifyLastLine="0" shrinkToFit="0" readingOrder="0"/>
    </dxf>
    <dxf>
      <font>
        <strike val="0"/>
        <outline val="0"/>
        <shadow val="0"/>
        <u val="none"/>
        <vertAlign val="baseline"/>
        <sz val="10"/>
        <color theme="1"/>
        <name val="Calibri"/>
        <scheme val="minor"/>
      </font>
      <numFmt numFmtId="0" formatCode="General"/>
      <alignment horizontal="general" vertical="center" textRotation="0" wrapText="0" indent="0" justifyLastLine="0" shrinkToFit="0" readingOrder="0"/>
    </dxf>
    <dxf>
      <numFmt numFmtId="0" formatCode="General"/>
    </dxf>
    <dxf>
      <numFmt numFmtId="0" formatCode="General"/>
    </dxf>
    <dxf>
      <numFmt numFmtId="0" formatCode="General"/>
    </dxf>
    <dxf>
      <font>
        <b val="0"/>
        <i val="0"/>
        <strike val="0"/>
        <condense val="0"/>
        <extend val="0"/>
        <outline val="0"/>
        <shadow val="0"/>
        <u val="none"/>
        <vertAlign val="baseline"/>
        <sz val="10"/>
        <color theme="1"/>
        <name val="Calibri"/>
        <family val="2"/>
        <scheme val="minor"/>
      </font>
      <numFmt numFmtId="30" formatCode="@"/>
      <fill>
        <patternFill patternType="solid">
          <fgColor theme="6" tint="0.79998168889431442"/>
          <bgColor theme="6" tint="0.79998168889431442"/>
        </patternFill>
      </fill>
      <alignment horizontal="center" vertical="center" textRotation="0" wrapText="0" indent="0" justifyLastLine="0" shrinkToFit="0" readingOrder="0"/>
      <border diagonalUp="0" diagonalDown="0" outline="0">
        <left style="thin">
          <color theme="4" tint="0.39997558519241921"/>
        </left>
        <right/>
        <top style="thin">
          <color theme="4" tint="0.39997558519241921"/>
        </top>
        <bottom style="thin">
          <color theme="4" tint="0.39997558519241921"/>
        </bottom>
      </border>
    </dxf>
    <dxf>
      <font>
        <b val="0"/>
        <i val="0"/>
        <strike val="0"/>
        <condense val="0"/>
        <extend val="0"/>
        <outline val="0"/>
        <shadow val="0"/>
        <u val="none"/>
        <vertAlign val="baseline"/>
        <sz val="10"/>
        <color theme="1"/>
        <name val="Calibri"/>
        <family val="2"/>
        <scheme val="minor"/>
      </font>
      <numFmt numFmtId="30" formatCode="@"/>
      <fill>
        <patternFill patternType="solid">
          <fgColor theme="6" tint="0.79998168889431442"/>
          <bgColor theme="6" tint="0.79998168889431442"/>
        </patternFill>
      </fill>
      <alignment horizontal="center" vertical="center" textRotation="0" wrapText="0" indent="0" justifyLastLine="0" shrinkToFit="0" readingOrder="0"/>
      <border diagonalUp="0" diagonalDown="0" outline="0">
        <left/>
        <right/>
        <top style="thin">
          <color theme="6" tint="0.39997558519241921"/>
        </top>
        <bottom/>
      </border>
    </dxf>
    <dxf>
      <font>
        <strike val="0"/>
        <outline val="0"/>
        <shadow val="0"/>
        <u val="none"/>
        <vertAlign val="baseline"/>
        <sz val="10"/>
        <color theme="1"/>
        <name val="Calibri"/>
        <family val="2"/>
        <scheme val="minor"/>
      </font>
    </dxf>
    <dxf>
      <font>
        <strike val="0"/>
        <outline val="0"/>
        <shadow val="0"/>
        <u val="none"/>
        <vertAlign val="baseline"/>
        <sz val="10"/>
        <color theme="1"/>
        <name val="Calibri"/>
        <family val="2"/>
        <scheme val="minor"/>
      </font>
    </dxf>
    <dxf>
      <font>
        <strike val="0"/>
        <outline val="0"/>
        <shadow val="0"/>
        <u val="none"/>
        <vertAlign val="baseline"/>
        <sz val="10"/>
        <color theme="1"/>
        <name val="Calibri"/>
        <family val="2"/>
        <scheme val="minor"/>
      </font>
    </dxf>
    <dxf>
      <font>
        <b val="0"/>
        <i val="0"/>
        <strike val="0"/>
        <condense val="0"/>
        <extend val="0"/>
        <outline val="0"/>
        <shadow val="0"/>
        <u val="none"/>
        <vertAlign val="baseline"/>
        <sz val="10"/>
        <color theme="1"/>
        <name val="Calibri"/>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font>
        <b val="0"/>
        <i val="0"/>
        <strike val="0"/>
        <condense val="0"/>
        <extend val="0"/>
        <outline val="0"/>
        <shadow val="0"/>
        <u val="none"/>
        <vertAlign val="baseline"/>
        <sz val="10"/>
        <color theme="1"/>
        <name val="Calibri"/>
        <family val="2"/>
        <scheme val="minor"/>
      </font>
      <fill>
        <patternFill patternType="solid">
          <fgColor theme="4" tint="0.79998168889431442"/>
          <bgColor theme="4" tint="0.79998168889431442"/>
        </patternFill>
      </fill>
      <border diagonalUp="0" diagonalDown="0">
        <left/>
        <right/>
        <top style="thin">
          <color theme="4" tint="0.39997558519241921"/>
        </top>
        <bottom/>
        <vertical/>
        <horizontal/>
      </border>
    </dxf>
    <dxf>
      <border outline="0">
        <left style="thin">
          <color theme="4" tint="0.39997558519241921"/>
        </left>
        <top style="thin">
          <color theme="4" tint="0.39997558519241921"/>
        </top>
        <bottom style="thin">
          <color theme="4" tint="0.39997558519241921"/>
        </bottom>
      </border>
    </dxf>
    <dxf>
      <font>
        <b val="0"/>
        <i val="0"/>
        <strike val="0"/>
        <condense val="0"/>
        <extend val="0"/>
        <outline val="0"/>
        <shadow val="0"/>
        <u val="none"/>
        <vertAlign val="baseline"/>
        <sz val="10"/>
        <color theme="1"/>
        <name val="Calibri"/>
        <family val="2"/>
        <scheme val="minor"/>
      </font>
      <fill>
        <patternFill patternType="solid">
          <fgColor theme="4" tint="0.79998168889431442"/>
          <bgColor theme="4" tint="0.79998168889431442"/>
        </patternFill>
      </fill>
    </dxf>
    <dxf>
      <font>
        <b/>
        <i val="0"/>
        <strike val="0"/>
        <condense val="0"/>
        <extend val="0"/>
        <outline val="0"/>
        <shadow val="0"/>
        <u val="none"/>
        <vertAlign val="baseline"/>
        <sz val="11"/>
        <color theme="0"/>
        <name val="Calibri"/>
        <family val="2"/>
        <scheme val="minor"/>
      </font>
      <fill>
        <patternFill patternType="solid">
          <fgColor theme="4"/>
          <bgColor theme="4"/>
        </patternFill>
      </fill>
    </dxf>
    <dxf>
      <font>
        <strike val="0"/>
        <outline val="0"/>
        <shadow val="0"/>
        <u val="none"/>
        <vertAlign val="baseline"/>
        <sz val="10"/>
        <color theme="1"/>
        <name val="Calibri"/>
        <scheme val="minor"/>
      </font>
      <numFmt numFmtId="0" formatCode="General"/>
      <alignment horizontal="center" vertical="bottom" textRotation="0" wrapText="0" indent="0" justifyLastLine="0" shrinkToFit="0" readingOrder="0"/>
    </dxf>
    <dxf>
      <font>
        <strike val="0"/>
        <outline val="0"/>
        <shadow val="0"/>
        <u val="none"/>
        <vertAlign val="baseline"/>
        <sz val="10"/>
        <color theme="1"/>
        <name val="Calibri"/>
        <scheme val="minor"/>
      </font>
      <numFmt numFmtId="0" formatCode="General"/>
    </dxf>
    <dxf>
      <numFmt numFmtId="0" formatCode="General"/>
    </dxf>
    <dxf>
      <numFmt numFmtId="0" formatCode="General"/>
    </dxf>
    <dxf>
      <font>
        <strike val="0"/>
        <outline val="0"/>
        <shadow val="0"/>
        <u val="none"/>
        <vertAlign val="baseline"/>
        <sz val="10"/>
        <color theme="1"/>
        <name val="Calibri"/>
        <scheme val="minor"/>
      </font>
      <numFmt numFmtId="0" formatCode="General"/>
      <alignment horizontal="center" vertical="bottom" textRotation="0" wrapText="0" indent="0" justifyLastLine="0" shrinkToFit="0" readingOrder="0"/>
    </dxf>
    <dxf>
      <font>
        <strike val="0"/>
        <outline val="0"/>
        <shadow val="0"/>
        <u val="none"/>
        <vertAlign val="baseline"/>
        <sz val="10"/>
        <color theme="1"/>
        <name val="Calibri"/>
        <scheme val="minor"/>
      </font>
      <numFmt numFmtId="0" formatCode="General"/>
    </dxf>
    <dxf>
      <numFmt numFmtId="0" formatCode="General"/>
    </dxf>
    <dxf>
      <numFmt numFmtId="0" formatCode="General"/>
    </dxf>
    <dxf>
      <numFmt numFmtId="0" formatCode="General"/>
    </dxf>
    <dxf>
      <numFmt numFmtId="0" formatCode="General"/>
    </dxf>
    <dxf>
      <border outline="0">
        <top style="medium">
          <color theme="1"/>
        </top>
        <bottom style="medium">
          <color theme="1"/>
        </bottom>
      </border>
    </dxf>
    <dxf>
      <font>
        <b val="0"/>
        <i val="0"/>
        <strike val="0"/>
        <condense val="0"/>
        <extend val="0"/>
        <outline val="0"/>
        <shadow val="0"/>
        <u val="none"/>
        <vertAlign val="baseline"/>
        <sz val="11"/>
        <color theme="1"/>
        <name val="Calibri"/>
        <scheme val="minor"/>
      </font>
      <numFmt numFmtId="0" formatCode="General"/>
      <fill>
        <patternFill patternType="solid">
          <fgColor theme="6" tint="0.79998168889431442"/>
          <bgColor theme="6" tint="0.79998168889431442"/>
        </patternFill>
      </fill>
      <alignment horizontal="center" vertical="center" textRotation="0" wrapText="0" indent="0" justifyLastLine="0" shrinkToFit="0" readingOrder="0"/>
      <border diagonalUp="0" diagonalDown="0" outline="0">
        <left/>
        <right/>
        <top style="thin">
          <color theme="6" tint="0.39997558519241921"/>
        </top>
        <bottom/>
      </border>
    </dxf>
    <dxf>
      <font>
        <b val="0"/>
        <i val="0"/>
        <strike val="0"/>
        <condense val="0"/>
        <extend val="0"/>
        <outline val="0"/>
        <shadow val="0"/>
        <u val="none"/>
        <vertAlign val="baseline"/>
        <sz val="11"/>
        <color theme="1"/>
        <name val="Calibri"/>
        <scheme val="minor"/>
      </font>
      <numFmt numFmtId="0" formatCode="General"/>
      <fill>
        <patternFill patternType="solid">
          <fgColor theme="6" tint="0.79998168889431442"/>
          <bgColor theme="6" tint="0.79998168889431442"/>
        </patternFill>
      </fill>
      <alignment horizontal="center" vertical="bottom" textRotation="0" wrapText="0" indent="0" justifyLastLine="0" shrinkToFit="0" readingOrder="0"/>
      <border diagonalUp="0" diagonalDown="0" outline="0">
        <left/>
        <right/>
        <top style="thin">
          <color theme="6" tint="0.39997558519241921"/>
        </top>
        <bottom/>
      </border>
    </dxf>
    <dxf>
      <font>
        <b val="0"/>
        <i val="0"/>
        <strike val="0"/>
        <condense val="0"/>
        <extend val="0"/>
        <outline val="0"/>
        <shadow val="0"/>
        <u val="none"/>
        <vertAlign val="baseline"/>
        <sz val="11"/>
        <color theme="1"/>
        <name val="Calibri"/>
        <scheme val="minor"/>
      </font>
      <numFmt numFmtId="0" formatCode="General"/>
      <fill>
        <patternFill patternType="solid">
          <fgColor theme="6" tint="0.79998168889431442"/>
          <bgColor theme="6" tint="0.79998168889431442"/>
        </patternFill>
      </fill>
      <alignment horizontal="center" vertical="center" textRotation="0" wrapText="0" indent="0" justifyLastLine="0" shrinkToFit="0" readingOrder="0"/>
      <border diagonalUp="0" diagonalDown="0" outline="0">
        <left/>
        <right/>
        <top style="thin">
          <color theme="6" tint="0.39997558519241921"/>
        </top>
        <bottom/>
      </border>
    </dxf>
    <dxf>
      <border outline="0">
        <top style="thin">
          <color theme="6" tint="0.39997558519241921"/>
        </top>
      </border>
    </dxf>
    <dxf>
      <border outline="0">
        <top style="medium">
          <color theme="1" tint="0.499984740745262"/>
        </top>
        <bottom style="thin">
          <color theme="6" tint="0.39997558519241921"/>
        </bottom>
      </border>
    </dxf>
    <dxf>
      <font>
        <b val="0"/>
        <i val="0"/>
        <strike val="0"/>
        <condense val="0"/>
        <extend val="0"/>
        <outline val="0"/>
        <shadow val="0"/>
        <u val="none"/>
        <vertAlign val="baseline"/>
        <sz val="11"/>
        <color theme="1"/>
        <name val="Calibri"/>
        <scheme val="minor"/>
      </font>
      <numFmt numFmtId="0" formatCode="General"/>
      <fill>
        <patternFill patternType="solid">
          <fgColor theme="6" tint="0.79998168889431442"/>
          <bgColor theme="6" tint="0.79998168889431442"/>
        </patternFill>
      </fill>
      <alignment horizontal="center" vertical="center" textRotation="0" wrapText="0" indent="0" justifyLastLine="0" shrinkToFit="0" readingOrder="0"/>
    </dxf>
    <dxf>
      <border outline="0">
        <bottom style="thin">
          <color theme="6" tint="0.39997558519241921"/>
        </bottom>
      </border>
    </dxf>
    <dxf>
      <font>
        <b/>
        <i val="0"/>
        <strike val="0"/>
        <condense val="0"/>
        <extend val="0"/>
        <outline val="0"/>
        <shadow val="0"/>
        <u val="none"/>
        <vertAlign val="baseline"/>
        <sz val="11"/>
        <color theme="0"/>
        <name val="Calibri"/>
        <family val="2"/>
        <scheme val="minor"/>
      </font>
      <fill>
        <patternFill patternType="solid">
          <fgColor theme="6"/>
          <bgColor theme="6"/>
        </patternFill>
      </fill>
      <alignment horizontal="left" vertical="center" textRotation="0" wrapText="0" indent="0" justifyLastLine="0" shrinkToFit="0" readingOrder="0"/>
    </dxf>
    <dxf>
      <font>
        <strike val="0"/>
        <outline val="0"/>
        <shadow val="0"/>
        <u val="none"/>
        <vertAlign val="baseline"/>
        <sz val="10"/>
        <color theme="1"/>
        <name val="Calibri"/>
        <scheme val="minor"/>
      </font>
      <numFmt numFmtId="0" formatCode="General"/>
      <alignment horizontal="center" vertical="bottom" textRotation="0" wrapText="0" indent="0" justifyLastLine="0" shrinkToFit="0" readingOrder="0"/>
    </dxf>
    <dxf>
      <font>
        <strike val="0"/>
        <outline val="0"/>
        <shadow val="0"/>
        <u val="none"/>
        <vertAlign val="baseline"/>
        <sz val="10"/>
        <color theme="1"/>
        <name val="Calibri"/>
        <scheme val="minor"/>
      </font>
      <numFmt numFmtId="0" formatCode="General"/>
    </dxf>
    <dxf>
      <font>
        <strike val="0"/>
        <outline val="0"/>
        <shadow val="0"/>
        <u val="none"/>
        <vertAlign val="baseline"/>
        <sz val="10"/>
        <color theme="1"/>
        <name val="Calibri"/>
        <scheme val="minor"/>
      </font>
      <numFmt numFmtId="0" formatCode="General"/>
    </dxf>
    <dxf>
      <numFmt numFmtId="0" formatCode="General"/>
    </dxf>
    <dxf>
      <font>
        <sz val="10"/>
      </font>
      <numFmt numFmtId="0" formatCode="General"/>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border outline="0">
        <top style="thin">
          <color theme="6" tint="0.39997558519241921"/>
        </top>
        <bottom style="thin">
          <color theme="6" tint="0.39997558519241921"/>
        </bottom>
      </border>
    </dxf>
    <dxf>
      <numFmt numFmtId="0" formatCode="General"/>
      <alignment horizontal="center" vertical="center" textRotation="0" wrapText="0" indent="0" justifyLastLine="0" shrinkToFit="0" readingOrder="0"/>
    </dxf>
    <dxf>
      <font>
        <sz val="10"/>
      </font>
      <numFmt numFmtId="0" formatCode="General"/>
      <alignment horizontal="center" vertical="center" textRotation="0" wrapText="0" indent="0" justifyLastLine="0" shrinkToFit="0" readingOrder="0"/>
    </dxf>
    <dxf>
      <font>
        <strike val="0"/>
        <outline val="0"/>
        <shadow val="0"/>
        <u val="none"/>
        <vertAlign val="baseline"/>
        <sz val="10"/>
        <color theme="1"/>
        <name val="Calibri"/>
        <scheme val="minor"/>
      </font>
      <numFmt numFmtId="0" formatCode="General"/>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font>
        <strike val="0"/>
        <outline val="0"/>
        <shadow val="0"/>
        <u val="none"/>
        <vertAlign val="baseline"/>
        <sz val="10"/>
        <color theme="1"/>
        <name val="Calibri"/>
        <scheme val="minor"/>
      </font>
      <numFmt numFmtId="0" formatCode="General"/>
      <alignment horizontal="center" vertical="center" textRotation="0" wrapText="0" indent="0" justifyLastLine="0" shrinkToFit="0" readingOrder="0"/>
    </dxf>
    <dxf>
      <font>
        <strike val="0"/>
        <outline val="0"/>
        <shadow val="0"/>
        <u val="none"/>
        <vertAlign val="baseline"/>
        <sz val="10"/>
        <color theme="1"/>
        <name val="Calibri"/>
        <scheme val="minor"/>
      </font>
      <numFmt numFmtId="0" formatCode="General"/>
      <alignment horizontal="general" vertical="center" textRotation="0" wrapText="0" indent="0" justifyLastLine="0" shrinkToFit="0" readingOrder="0"/>
    </dxf>
    <dxf>
      <font>
        <strike val="0"/>
        <outline val="0"/>
        <shadow val="0"/>
        <u val="none"/>
        <vertAlign val="baseline"/>
        <sz val="10"/>
        <color theme="1"/>
        <name val="Calibri"/>
        <scheme val="minor"/>
      </font>
      <numFmt numFmtId="0" formatCode="General"/>
    </dxf>
    <dxf>
      <font>
        <strike val="0"/>
        <outline val="0"/>
        <shadow val="0"/>
        <u val="none"/>
        <vertAlign val="baseline"/>
        <sz val="10"/>
        <color theme="1"/>
        <name val="Calibri"/>
        <scheme val="minor"/>
      </font>
      <numFmt numFmtId="0" formatCode="General"/>
      <alignment horizontal="center" vertical="center" textRotation="0" wrapText="0" indent="0" justifyLastLine="0" shrinkToFit="0" readingOrder="0"/>
    </dxf>
    <dxf>
      <font>
        <strike val="0"/>
        <outline val="0"/>
        <shadow val="0"/>
        <u val="none"/>
        <vertAlign val="baseline"/>
        <sz val="10"/>
        <color theme="1"/>
        <name val="Calibri"/>
        <scheme val="minor"/>
      </font>
      <numFmt numFmtId="0" formatCode="General"/>
    </dxf>
    <dxf>
      <numFmt numFmtId="0" formatCode="General"/>
    </dxf>
    <dxf>
      <numFmt numFmtId="0" formatCode="General"/>
    </dxf>
    <dxf>
      <font>
        <strike val="0"/>
        <outline val="0"/>
        <shadow val="0"/>
        <u val="none"/>
        <vertAlign val="baseline"/>
        <sz val="10"/>
        <color theme="1"/>
        <name val="Calibri"/>
        <scheme val="minor"/>
      </font>
      <numFmt numFmtId="0" formatCode="General"/>
      <alignment horizontal="center" vertical="bottom" textRotation="0" wrapText="0" indent="0" justifyLastLine="0" shrinkToFit="0" readingOrder="0"/>
    </dxf>
    <dxf>
      <font>
        <strike val="0"/>
        <outline val="0"/>
        <shadow val="0"/>
        <u val="none"/>
        <vertAlign val="baseline"/>
        <sz val="10"/>
        <color theme="1"/>
        <name val="Calibri"/>
        <scheme val="minor"/>
      </font>
      <numFmt numFmtId="0" formatCode="General"/>
    </dxf>
    <dxf>
      <numFmt numFmtId="0" formatCode="General"/>
    </dxf>
    <dxf>
      <numFmt numFmtId="0" formatCode="General"/>
    </dxf>
    <dxf>
      <font>
        <strike val="0"/>
        <outline val="0"/>
        <shadow val="0"/>
        <u val="none"/>
        <vertAlign val="baseline"/>
        <sz val="10"/>
        <color theme="1"/>
        <name val="Calibri"/>
        <scheme val="minor"/>
      </font>
      <numFmt numFmtId="0" formatCode="General"/>
      <alignment horizontal="center" vertical="bottom" textRotation="0" wrapText="0" indent="0" justifyLastLine="0" shrinkToFit="0" readingOrder="0"/>
    </dxf>
    <dxf>
      <font>
        <strike val="0"/>
        <outline val="0"/>
        <shadow val="0"/>
        <u val="none"/>
        <vertAlign val="baseline"/>
        <sz val="10"/>
        <color theme="1"/>
        <name val="Calibri"/>
        <scheme val="minor"/>
      </font>
      <numFmt numFmtId="0" formatCode="General"/>
    </dxf>
    <dxf>
      <numFmt numFmtId="0" formatCode="General"/>
    </dxf>
    <dxf>
      <numFmt numFmtId="0" formatCode="General"/>
    </dxf>
    <dxf>
      <font>
        <strike val="0"/>
        <outline val="0"/>
        <shadow val="0"/>
        <u val="none"/>
        <vertAlign val="baseline"/>
        <sz val="10"/>
        <color theme="1"/>
        <name val="Calibri"/>
        <scheme val="minor"/>
      </font>
      <numFmt numFmtId="0" formatCode="General"/>
      <alignment horizontal="center" vertical="bottom" textRotation="0" wrapText="0" indent="0" justifyLastLine="0" shrinkToFit="0" readingOrder="0"/>
    </dxf>
    <dxf>
      <font>
        <strike val="0"/>
        <outline val="0"/>
        <shadow val="0"/>
        <u val="none"/>
        <vertAlign val="baseline"/>
        <sz val="10"/>
        <color theme="1"/>
        <name val="Calibri"/>
        <scheme val="minor"/>
      </font>
      <numFmt numFmtId="0" formatCode="General"/>
    </dxf>
    <dxf>
      <numFmt numFmtId="0" formatCode="General"/>
    </dxf>
    <dxf>
      <numFmt numFmtId="0" formatCode="General"/>
    </dxf>
    <dxf>
      <font>
        <strike val="0"/>
        <outline val="0"/>
        <shadow val="0"/>
        <u val="none"/>
        <vertAlign val="baseline"/>
        <sz val="10"/>
        <color theme="1"/>
        <name val="Calibri"/>
        <scheme val="minor"/>
      </font>
      <numFmt numFmtId="0" formatCode="General"/>
      <alignment horizontal="center" vertical="bottom" textRotation="0" wrapText="0" indent="0" justifyLastLine="0" shrinkToFit="0" readingOrder="0"/>
    </dxf>
    <dxf>
      <font>
        <strike val="0"/>
        <outline val="0"/>
        <shadow val="0"/>
        <u val="none"/>
        <vertAlign val="baseline"/>
        <sz val="10"/>
        <color theme="1"/>
        <name val="Calibri"/>
        <scheme val="minor"/>
      </font>
      <numFmt numFmtId="0" formatCode="General"/>
    </dxf>
    <dxf>
      <numFmt numFmtId="0" formatCode="General"/>
    </dxf>
    <dxf>
      <numFmt numFmtId="0" formatCode="General"/>
    </dxf>
    <dxf>
      <font>
        <strike val="0"/>
        <outline val="0"/>
        <shadow val="0"/>
        <u val="none"/>
        <vertAlign val="baseline"/>
        <sz val="10"/>
        <color theme="1"/>
        <name val="Calibri"/>
        <scheme val="minor"/>
      </font>
      <numFmt numFmtId="0" formatCode="General"/>
      <alignment horizontal="center" vertical="bottom" textRotation="0" wrapText="0" indent="0" justifyLastLine="0" shrinkToFit="0" readingOrder="0"/>
    </dxf>
    <dxf>
      <font>
        <strike val="0"/>
        <outline val="0"/>
        <shadow val="0"/>
        <u val="none"/>
        <vertAlign val="baseline"/>
        <sz val="10"/>
        <color theme="1"/>
        <name val="Calibri"/>
        <scheme val="minor"/>
      </font>
      <numFmt numFmtId="0" formatCode="General"/>
    </dxf>
    <dxf>
      <numFmt numFmtId="0" formatCode="General"/>
    </dxf>
    <dxf>
      <numFmt numFmtId="0" formatCode="General"/>
    </dxf>
    <dxf>
      <font>
        <strike val="0"/>
        <outline val="0"/>
        <shadow val="0"/>
        <u val="none"/>
        <vertAlign val="baseline"/>
        <sz val="10"/>
        <color theme="1"/>
        <name val="Calibri"/>
        <scheme val="minor"/>
      </font>
      <numFmt numFmtId="0" formatCode="General"/>
      <alignment horizontal="center" vertical="bottom" textRotation="0" wrapText="0" indent="0" justifyLastLine="0" shrinkToFit="0" readingOrder="0"/>
    </dxf>
    <dxf>
      <font>
        <strike val="0"/>
        <outline val="0"/>
        <shadow val="0"/>
        <u val="none"/>
        <vertAlign val="baseline"/>
        <sz val="10"/>
        <color theme="1"/>
        <name val="Calibri"/>
        <scheme val="minor"/>
      </font>
      <numFmt numFmtId="0" formatCode="General"/>
    </dxf>
    <dxf>
      <numFmt numFmtId="0" formatCode="General"/>
    </dxf>
    <dxf>
      <numFmt numFmtId="0" formatCode="General"/>
    </dxf>
    <dxf>
      <font>
        <strike val="0"/>
        <outline val="0"/>
        <shadow val="0"/>
        <u val="none"/>
        <vertAlign val="baseline"/>
        <sz val="10"/>
        <color theme="1"/>
        <name val="Calibri"/>
        <scheme val="minor"/>
      </font>
      <numFmt numFmtId="0" formatCode="General"/>
      <alignment horizontal="center" vertical="bottom" textRotation="0" wrapText="0" indent="0" justifyLastLine="0" shrinkToFit="0" readingOrder="0"/>
    </dxf>
    <dxf>
      <font>
        <strike val="0"/>
        <outline val="0"/>
        <shadow val="0"/>
        <u val="none"/>
        <vertAlign val="baseline"/>
        <sz val="10"/>
        <color theme="1"/>
        <name val="Calibri"/>
        <scheme val="minor"/>
      </font>
      <numFmt numFmtId="0" formatCode="General"/>
    </dxf>
    <dxf>
      <numFmt numFmtId="0" formatCode="General"/>
    </dxf>
    <dxf>
      <numFmt numFmtId="0" formatCode="General"/>
    </dxf>
    <dxf>
      <font>
        <strike val="0"/>
        <outline val="0"/>
        <shadow val="0"/>
        <u val="none"/>
        <vertAlign val="baseline"/>
        <sz val="10"/>
        <color theme="1"/>
        <name val="Calibri"/>
        <scheme val="minor"/>
      </font>
      <numFmt numFmtId="0" formatCode="General"/>
      <alignment horizontal="center" vertical="bottom" textRotation="0" wrapText="0" indent="0" justifyLastLine="0" shrinkToFit="0" readingOrder="0"/>
    </dxf>
    <dxf>
      <font>
        <strike val="0"/>
        <outline val="0"/>
        <shadow val="0"/>
        <u val="none"/>
        <vertAlign val="baseline"/>
        <sz val="10"/>
        <color theme="1"/>
        <name val="Calibri"/>
        <scheme val="minor"/>
      </font>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border outline="0">
        <top style="medium">
          <color theme="1"/>
        </top>
        <bottom style="medium">
          <color theme="1"/>
        </bottom>
      </border>
    </dxf>
    <dxf>
      <numFmt numFmtId="0" formatCode="General"/>
    </dxf>
    <dxf>
      <numFmt numFmtId="0" formatCode="General"/>
    </dxf>
    <dxf>
      <border outline="0">
        <top style="medium">
          <color theme="1"/>
        </top>
        <bottom style="medium">
          <color theme="1"/>
        </bottom>
      </border>
    </dxf>
    <dxf>
      <numFmt numFmtId="0" formatCode="General"/>
    </dxf>
    <dxf>
      <numFmt numFmtId="0" formatCode="General"/>
    </dxf>
    <dxf>
      <border outline="0">
        <top style="medium">
          <color theme="1"/>
        </top>
        <bottom style="medium">
          <color theme="1"/>
        </bottom>
      </border>
    </dxf>
    <dxf>
      <font>
        <b val="0"/>
        <i val="0"/>
        <strike val="0"/>
        <condense val="0"/>
        <extend val="0"/>
        <outline val="0"/>
        <shadow val="0"/>
        <u val="none"/>
        <vertAlign val="baseline"/>
        <sz val="11"/>
        <color theme="1"/>
        <name val="Calibri"/>
        <scheme val="minor"/>
      </font>
      <numFmt numFmtId="0" formatCode="General"/>
      <fill>
        <patternFill patternType="solid">
          <fgColor theme="6" tint="0.79998168889431442"/>
          <bgColor theme="6" tint="0.79998168889431442"/>
        </patternFill>
      </fill>
      <alignment horizontal="center" vertical="center" textRotation="0" wrapText="0" indent="0" justifyLastLine="0" shrinkToFit="0" readingOrder="0"/>
      <border diagonalUp="0" diagonalDown="0" outline="0">
        <left/>
        <right/>
        <top style="thin">
          <color theme="6" tint="0.39997558519241921"/>
        </top>
        <bottom/>
      </border>
    </dxf>
    <dxf>
      <font>
        <b val="0"/>
        <i val="0"/>
        <strike val="0"/>
        <condense val="0"/>
        <extend val="0"/>
        <outline val="0"/>
        <shadow val="0"/>
        <u val="none"/>
        <vertAlign val="baseline"/>
        <sz val="11"/>
        <color theme="1"/>
        <name val="Calibri"/>
        <scheme val="minor"/>
      </font>
      <numFmt numFmtId="0" formatCode="General"/>
      <fill>
        <patternFill patternType="solid">
          <fgColor theme="6" tint="0.79998168889431442"/>
          <bgColor theme="6" tint="0.79998168889431442"/>
        </patternFill>
      </fill>
      <alignment horizontal="center" vertical="bottom" textRotation="0" wrapText="0" indent="0" justifyLastLine="0" shrinkToFit="0" readingOrder="0"/>
      <border diagonalUp="0" diagonalDown="0" outline="0">
        <left/>
        <right/>
        <top style="thin">
          <color theme="6" tint="0.39997558519241921"/>
        </top>
        <bottom/>
      </border>
    </dxf>
    <dxf>
      <font>
        <b val="0"/>
        <i val="0"/>
        <strike val="0"/>
        <condense val="0"/>
        <extend val="0"/>
        <outline val="0"/>
        <shadow val="0"/>
        <u val="none"/>
        <vertAlign val="baseline"/>
        <sz val="11"/>
        <color theme="1"/>
        <name val="Calibri"/>
        <scheme val="minor"/>
      </font>
      <numFmt numFmtId="0" formatCode="General"/>
      <fill>
        <patternFill patternType="solid">
          <fgColor theme="6" tint="0.79998168889431442"/>
          <bgColor theme="6" tint="0.79998168889431442"/>
        </patternFill>
      </fill>
      <alignment horizontal="center" vertical="center" textRotation="0" wrapText="0" indent="0" justifyLastLine="0" shrinkToFit="0" readingOrder="0"/>
      <border diagonalUp="0" diagonalDown="0" outline="0">
        <left/>
        <right/>
        <top style="thin">
          <color theme="6" tint="0.39997558519241921"/>
        </top>
        <bottom/>
      </border>
    </dxf>
    <dxf>
      <border outline="0">
        <top style="thin">
          <color theme="6" tint="0.39997558519241921"/>
        </top>
      </border>
    </dxf>
    <dxf>
      <border outline="0">
        <top style="medium">
          <color theme="1" tint="0.499984740745262"/>
        </top>
        <bottom style="thin">
          <color theme="6" tint="0.39997558519241921"/>
        </bottom>
      </border>
    </dxf>
    <dxf>
      <font>
        <b val="0"/>
        <i val="0"/>
        <strike val="0"/>
        <condense val="0"/>
        <extend val="0"/>
        <outline val="0"/>
        <shadow val="0"/>
        <u val="none"/>
        <vertAlign val="baseline"/>
        <sz val="11"/>
        <color theme="1"/>
        <name val="Calibri"/>
        <scheme val="minor"/>
      </font>
      <numFmt numFmtId="0" formatCode="General"/>
      <fill>
        <patternFill patternType="solid">
          <fgColor theme="6" tint="0.79998168889431442"/>
          <bgColor theme="6" tint="0.79998168889431442"/>
        </patternFill>
      </fill>
      <alignment horizontal="center" vertical="center" textRotation="0" wrapText="0" indent="0" justifyLastLine="0" shrinkToFit="0" readingOrder="0"/>
    </dxf>
    <dxf>
      <border outline="0">
        <bottom style="thin">
          <color theme="6" tint="0.39997558519241921"/>
        </bottom>
      </border>
    </dxf>
    <dxf>
      <font>
        <b/>
        <i val="0"/>
        <strike val="0"/>
        <condense val="0"/>
        <extend val="0"/>
        <outline val="0"/>
        <shadow val="0"/>
        <u val="none"/>
        <vertAlign val="baseline"/>
        <sz val="11"/>
        <color theme="0"/>
        <name val="Calibri"/>
        <family val="2"/>
        <scheme val="minor"/>
      </font>
      <fill>
        <patternFill patternType="solid">
          <fgColor theme="6"/>
          <bgColor theme="6"/>
        </patternFill>
      </fill>
      <alignment horizontal="left" vertical="center" textRotation="0" wrapText="0" indent="0" justifyLastLine="0" shrinkToFit="0" readingOrder="0"/>
    </dxf>
    <dxf>
      <font>
        <strike val="0"/>
        <outline val="0"/>
        <shadow val="0"/>
        <u val="none"/>
        <vertAlign val="baseline"/>
        <sz val="10"/>
        <color theme="1"/>
        <name val="Calibri"/>
        <scheme val="minor"/>
      </font>
      <numFmt numFmtId="0" formatCode="General"/>
      <alignment horizontal="center" vertical="bottom" textRotation="0" wrapText="0" indent="0" justifyLastLine="0" shrinkToFit="0" readingOrder="0"/>
    </dxf>
    <dxf>
      <font>
        <strike val="0"/>
        <outline val="0"/>
        <shadow val="0"/>
        <u val="none"/>
        <vertAlign val="baseline"/>
        <sz val="10"/>
        <color theme="1"/>
        <name val="Calibri"/>
        <scheme val="minor"/>
      </font>
      <numFmt numFmtId="0" formatCode="General"/>
    </dxf>
    <dxf>
      <font>
        <strike val="0"/>
        <outline val="0"/>
        <shadow val="0"/>
        <u val="none"/>
        <vertAlign val="baseline"/>
        <sz val="10"/>
        <color theme="1"/>
        <name val="Calibri"/>
        <scheme val="minor"/>
      </font>
      <numFmt numFmtId="0" formatCode="General"/>
    </dxf>
    <dxf>
      <numFmt numFmtId="0" formatCode="General"/>
    </dxf>
    <dxf>
      <font>
        <sz val="10"/>
      </font>
      <numFmt numFmtId="0" formatCode="General"/>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border outline="0">
        <top style="thin">
          <color theme="6" tint="0.39997558519241921"/>
        </top>
        <bottom style="thin">
          <color theme="6" tint="0.39997558519241921"/>
        </bottom>
      </border>
    </dxf>
    <dxf>
      <numFmt numFmtId="0" formatCode="General"/>
      <alignment horizontal="center" vertical="center" textRotation="0" wrapText="0" indent="0" justifyLastLine="0" shrinkToFit="0" readingOrder="0"/>
    </dxf>
    <dxf>
      <font>
        <sz val="10"/>
      </font>
      <numFmt numFmtId="0" formatCode="General"/>
      <alignment horizontal="center" vertical="center" textRotation="0" wrapText="0" indent="0" justifyLastLine="0" shrinkToFit="0" readingOrder="0"/>
    </dxf>
    <dxf>
      <font>
        <strike val="0"/>
        <outline val="0"/>
        <shadow val="0"/>
        <u val="none"/>
        <vertAlign val="baseline"/>
        <sz val="10"/>
        <color theme="1"/>
        <name val="Calibri"/>
        <scheme val="minor"/>
      </font>
      <numFmt numFmtId="0" formatCode="General"/>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font>
        <strike val="0"/>
        <outline val="0"/>
        <shadow val="0"/>
        <u val="none"/>
        <vertAlign val="baseline"/>
        <sz val="10"/>
        <color theme="1"/>
        <name val="Calibri"/>
        <scheme val="minor"/>
      </font>
      <numFmt numFmtId="0" formatCode="General"/>
      <alignment horizontal="center" vertical="center" textRotation="0" wrapText="0" indent="0" justifyLastLine="0" shrinkToFit="0" readingOrder="0"/>
    </dxf>
    <dxf>
      <font>
        <strike val="0"/>
        <outline val="0"/>
        <shadow val="0"/>
        <u val="none"/>
        <vertAlign val="baseline"/>
        <sz val="10"/>
        <color theme="1"/>
        <name val="Calibri"/>
        <scheme val="minor"/>
      </font>
      <numFmt numFmtId="0" formatCode="General"/>
      <alignment horizontal="general" vertical="center" textRotation="0" wrapText="0" indent="0" justifyLastLine="0" shrinkToFit="0" readingOrder="0"/>
    </dxf>
    <dxf>
      <font>
        <strike val="0"/>
        <outline val="0"/>
        <shadow val="0"/>
        <u val="none"/>
        <vertAlign val="baseline"/>
        <sz val="10"/>
        <color theme="1"/>
        <name val="Calibri"/>
        <scheme val="minor"/>
      </font>
      <numFmt numFmtId="0" formatCode="General"/>
    </dxf>
    <dxf>
      <font>
        <b val="0"/>
        <i val="0"/>
        <strike val="0"/>
        <condense val="0"/>
        <extend val="0"/>
        <outline val="0"/>
        <shadow val="0"/>
        <u val="none"/>
        <vertAlign val="baseline"/>
        <sz val="11"/>
        <color theme="1"/>
        <name val="Calibri"/>
        <scheme val="minor"/>
      </font>
      <numFmt numFmtId="0" formatCode="General"/>
      <fill>
        <patternFill patternType="solid">
          <fgColor theme="6" tint="0.79998168889431442"/>
          <bgColor theme="6" tint="0.79998168889431442"/>
        </patternFill>
      </fill>
      <alignment horizontal="center" vertical="center" textRotation="0" wrapText="0" indent="0" justifyLastLine="0" shrinkToFit="0" readingOrder="0"/>
      <border diagonalUp="0" diagonalDown="0" outline="0">
        <left/>
        <right/>
        <top style="thin">
          <color theme="6" tint="0.39997558519241921"/>
        </top>
        <bottom/>
      </border>
    </dxf>
    <dxf>
      <font>
        <b val="0"/>
        <i val="0"/>
        <strike val="0"/>
        <condense val="0"/>
        <extend val="0"/>
        <outline val="0"/>
        <shadow val="0"/>
        <u val="none"/>
        <vertAlign val="baseline"/>
        <sz val="11"/>
        <color theme="1"/>
        <name val="Calibri"/>
        <scheme val="minor"/>
      </font>
      <numFmt numFmtId="0" formatCode="General"/>
      <fill>
        <patternFill patternType="solid">
          <fgColor theme="6" tint="0.79998168889431442"/>
          <bgColor theme="6" tint="0.79998168889431442"/>
        </patternFill>
      </fill>
      <alignment horizontal="center" vertical="center" textRotation="0" wrapText="0" indent="0" justifyLastLine="0" shrinkToFit="0" readingOrder="0"/>
      <border diagonalUp="0" diagonalDown="0" outline="0">
        <left/>
        <right/>
        <top style="thin">
          <color theme="6" tint="0.39997558519241921"/>
        </top>
        <bottom/>
      </border>
    </dxf>
    <dxf>
      <font>
        <b val="0"/>
        <i val="0"/>
        <strike val="0"/>
        <condense val="0"/>
        <extend val="0"/>
        <outline val="0"/>
        <shadow val="0"/>
        <u val="none"/>
        <vertAlign val="baseline"/>
        <sz val="11"/>
        <color theme="1"/>
        <name val="Calibri"/>
        <scheme val="minor"/>
      </font>
      <numFmt numFmtId="0" formatCode="General"/>
      <fill>
        <patternFill patternType="solid">
          <fgColor theme="6" tint="0.79998168889431442"/>
          <bgColor theme="6" tint="0.79998168889431442"/>
        </patternFill>
      </fill>
      <alignment horizontal="center" vertical="center" textRotation="0" wrapText="0" indent="0" justifyLastLine="0" shrinkToFit="0" readingOrder="0"/>
      <border diagonalUp="0" diagonalDown="0" outline="0">
        <left/>
        <right/>
        <top style="thin">
          <color theme="6" tint="0.39997558519241921"/>
        </top>
        <bottom/>
      </border>
    </dxf>
    <dxf>
      <border outline="0">
        <top style="thin">
          <color theme="6" tint="0.39997558519241921"/>
        </top>
      </border>
    </dxf>
    <dxf>
      <border outline="0">
        <top style="medium">
          <color theme="1" tint="0.499984740745262"/>
        </top>
        <bottom style="thin">
          <color theme="6" tint="0.39997558519241921"/>
        </bottom>
      </border>
    </dxf>
    <dxf>
      <font>
        <b val="0"/>
        <i val="0"/>
        <strike val="0"/>
        <condense val="0"/>
        <extend val="0"/>
        <outline val="0"/>
        <shadow val="0"/>
        <u val="none"/>
        <vertAlign val="baseline"/>
        <sz val="11"/>
        <color theme="1"/>
        <name val="Calibri"/>
        <scheme val="minor"/>
      </font>
      <numFmt numFmtId="0" formatCode="General"/>
      <fill>
        <patternFill patternType="solid">
          <fgColor theme="6" tint="0.79998168889431442"/>
          <bgColor theme="6" tint="0.79998168889431442"/>
        </patternFill>
      </fill>
      <alignment horizontal="center" vertical="center" textRotation="0" wrapText="0" indent="0" justifyLastLine="0" shrinkToFit="0" readingOrder="0"/>
    </dxf>
    <dxf>
      <border outline="0">
        <bottom style="thin">
          <color theme="6" tint="0.39997558519241921"/>
        </bottom>
      </border>
    </dxf>
    <dxf>
      <font>
        <b/>
        <i val="0"/>
        <strike val="0"/>
        <condense val="0"/>
        <extend val="0"/>
        <outline val="0"/>
        <shadow val="0"/>
        <u val="none"/>
        <vertAlign val="baseline"/>
        <sz val="11"/>
        <color theme="0"/>
        <name val="Calibri"/>
        <family val="2"/>
        <scheme val="minor"/>
      </font>
      <fill>
        <patternFill patternType="solid">
          <fgColor theme="6"/>
          <bgColor theme="6"/>
        </patternFill>
      </fill>
      <alignment horizontal="left" vertical="center" textRotation="0" wrapText="0" indent="0" justifyLastLine="0" shrinkToFit="0" readingOrder="0"/>
    </dxf>
    <dxf>
      <font>
        <strike val="0"/>
        <outline val="0"/>
        <shadow val="0"/>
        <u val="none"/>
        <vertAlign val="baseline"/>
        <sz val="10"/>
        <color theme="1"/>
        <name val="Calibri"/>
        <scheme val="minor"/>
      </font>
      <numFmt numFmtId="0" formatCode="General"/>
      <alignment horizontal="center" vertical="bottom" textRotation="0" wrapText="0" indent="0" justifyLastLine="0" shrinkToFit="0" readingOrder="0"/>
    </dxf>
    <dxf>
      <font>
        <strike val="0"/>
        <outline val="0"/>
        <shadow val="0"/>
        <u val="none"/>
        <vertAlign val="baseline"/>
        <sz val="10"/>
        <color theme="1"/>
        <name val="Calibri"/>
        <scheme val="minor"/>
      </font>
      <numFmt numFmtId="0" formatCode="General"/>
    </dxf>
    <dxf>
      <font>
        <strike val="0"/>
        <outline val="0"/>
        <shadow val="0"/>
        <u val="none"/>
        <vertAlign val="baseline"/>
        <sz val="10"/>
        <color theme="1"/>
        <name val="Calibri"/>
        <scheme val="minor"/>
      </font>
      <numFmt numFmtId="0" formatCode="General"/>
    </dxf>
    <dxf>
      <numFmt numFmtId="0" formatCode="General"/>
    </dxf>
    <dxf>
      <font>
        <sz val="10"/>
      </font>
      <numFmt numFmtId="0" formatCode="General"/>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border outline="0">
        <top style="thin">
          <color theme="6" tint="0.39997558519241921"/>
        </top>
        <bottom style="thin">
          <color theme="6" tint="0.39997558519241921"/>
        </bottom>
      </border>
    </dxf>
    <dxf>
      <numFmt numFmtId="0" formatCode="General"/>
      <alignment horizontal="center" vertical="center" textRotation="0" wrapText="0" indent="0" justifyLastLine="0" shrinkToFit="0" readingOrder="0"/>
    </dxf>
    <dxf>
      <numFmt numFmtId="0" formatCode="General"/>
      <alignment horizontal="center" vertical="bottom" textRotation="0" wrapText="0" indent="0" justifyLastLine="0" shrinkToFit="0" readingOrder="0"/>
    </dxf>
    <dxf>
      <font>
        <sz val="10"/>
      </font>
      <numFmt numFmtId="0" formatCode="General"/>
      <alignment horizontal="center" vertical="center" textRotation="0" wrapText="0" indent="0" justifyLastLine="0" shrinkToFit="0" readingOrder="0"/>
    </dxf>
    <dxf>
      <font>
        <strike val="0"/>
        <outline val="0"/>
        <shadow val="0"/>
        <u val="none"/>
        <vertAlign val="baseline"/>
        <sz val="10"/>
        <color theme="1"/>
        <name val="Calibri"/>
        <scheme val="minor"/>
      </font>
      <numFmt numFmtId="0" formatCode="General"/>
      <alignment horizontal="left" vertical="center" textRotation="0" wrapText="0" indent="0" justifyLastLine="0" shrinkToFit="0" readingOrder="0"/>
    </dxf>
    <dxf>
      <numFmt numFmtId="0" formatCode="General"/>
      <alignment horizontal="left" vertical="center" textRotation="0" wrapText="0" indent="0" justifyLastLine="0" shrinkToFit="0" readingOrder="0"/>
    </dxf>
    <dxf>
      <font>
        <strike val="0"/>
        <outline val="0"/>
        <shadow val="0"/>
        <u val="none"/>
        <vertAlign val="baseline"/>
        <sz val="10"/>
        <color theme="1"/>
        <name val="Calibri"/>
        <scheme val="minor"/>
      </font>
      <numFmt numFmtId="0" formatCode="General"/>
      <alignment horizontal="center" vertical="center" textRotation="0" wrapText="0" indent="0" justifyLastLine="0" shrinkToFit="0" readingOrder="0"/>
    </dxf>
    <dxf>
      <font>
        <strike val="0"/>
        <outline val="0"/>
        <shadow val="0"/>
        <u val="none"/>
        <vertAlign val="baseline"/>
        <sz val="10"/>
        <color theme="1"/>
        <name val="Calibri"/>
        <scheme val="minor"/>
      </font>
      <numFmt numFmtId="0" formatCode="General"/>
      <alignment horizontal="general" vertical="center" textRotation="0" wrapText="0" indent="0" justifyLastLine="0" shrinkToFit="0" readingOrder="0"/>
    </dxf>
    <dxf>
      <font>
        <strike val="0"/>
        <outline val="0"/>
        <shadow val="0"/>
        <u val="none"/>
        <vertAlign val="baseline"/>
        <sz val="10"/>
        <color theme="1"/>
        <name val="Calibri"/>
        <scheme val="minor"/>
      </font>
      <numFmt numFmtId="0" formatCode="General"/>
    </dxf>
    <dxf>
      <font>
        <b val="0"/>
        <i val="0"/>
        <strike val="0"/>
        <condense val="0"/>
        <extend val="0"/>
        <outline val="0"/>
        <shadow val="0"/>
        <u val="none"/>
        <vertAlign val="baseline"/>
        <sz val="11"/>
        <color theme="1"/>
        <name val="Calibri"/>
        <scheme val="minor"/>
      </font>
      <numFmt numFmtId="0" formatCode="General"/>
      <fill>
        <patternFill patternType="solid">
          <fgColor theme="6" tint="0.79998168889431442"/>
          <bgColor theme="6" tint="0.79998168889431442"/>
        </patternFill>
      </fill>
      <alignment horizontal="center" vertical="center" textRotation="0" wrapText="0" indent="0" justifyLastLine="0" shrinkToFit="0" readingOrder="0"/>
      <border diagonalUp="0" diagonalDown="0" outline="0">
        <left/>
        <right/>
        <top style="thin">
          <color theme="6" tint="0.39997558519241921"/>
        </top>
        <bottom/>
      </border>
    </dxf>
    <dxf>
      <font>
        <b val="0"/>
        <i val="0"/>
        <strike val="0"/>
        <condense val="0"/>
        <extend val="0"/>
        <outline val="0"/>
        <shadow val="0"/>
        <u val="none"/>
        <vertAlign val="baseline"/>
        <sz val="11"/>
        <color theme="1"/>
        <name val="Calibri"/>
        <scheme val="minor"/>
      </font>
      <numFmt numFmtId="0" formatCode="General"/>
      <fill>
        <patternFill patternType="solid">
          <fgColor theme="6" tint="0.79998168889431442"/>
          <bgColor theme="6" tint="0.79998168889431442"/>
        </patternFill>
      </fill>
      <alignment horizontal="center" vertical="bottom" textRotation="0" wrapText="0" indent="0" justifyLastLine="0" shrinkToFit="0" readingOrder="0"/>
      <border diagonalUp="0" diagonalDown="0" outline="0">
        <left/>
        <right/>
        <top style="thin">
          <color theme="6" tint="0.39997558519241921"/>
        </top>
        <bottom/>
      </border>
    </dxf>
    <dxf>
      <font>
        <b val="0"/>
        <i val="0"/>
        <strike val="0"/>
        <condense val="0"/>
        <extend val="0"/>
        <outline val="0"/>
        <shadow val="0"/>
        <u val="none"/>
        <vertAlign val="baseline"/>
        <sz val="11"/>
        <color theme="1"/>
        <name val="Calibri"/>
        <scheme val="minor"/>
      </font>
      <numFmt numFmtId="0" formatCode="General"/>
      <fill>
        <patternFill patternType="solid">
          <fgColor theme="6" tint="0.79998168889431442"/>
          <bgColor theme="6" tint="0.79998168889431442"/>
        </patternFill>
      </fill>
      <alignment horizontal="center" vertical="center" textRotation="0" wrapText="0" indent="0" justifyLastLine="0" shrinkToFit="0" readingOrder="0"/>
      <border diagonalUp="0" diagonalDown="0" outline="0">
        <left/>
        <right/>
        <top style="thin">
          <color theme="6" tint="0.39997558519241921"/>
        </top>
        <bottom/>
      </border>
    </dxf>
    <dxf>
      <border outline="0">
        <top style="thin">
          <color theme="6" tint="0.39997558519241921"/>
        </top>
      </border>
    </dxf>
    <dxf>
      <border outline="0">
        <top style="medium">
          <color theme="1" tint="0.499984740745262"/>
        </top>
        <bottom style="thin">
          <color theme="6" tint="0.39997558519241921"/>
        </bottom>
      </border>
    </dxf>
    <dxf>
      <font>
        <b val="0"/>
        <i val="0"/>
        <strike val="0"/>
        <condense val="0"/>
        <extend val="0"/>
        <outline val="0"/>
        <shadow val="0"/>
        <u val="none"/>
        <vertAlign val="baseline"/>
        <sz val="11"/>
        <color theme="1"/>
        <name val="Calibri"/>
        <scheme val="minor"/>
      </font>
      <numFmt numFmtId="0" formatCode="General"/>
      <fill>
        <patternFill patternType="solid">
          <fgColor theme="6" tint="0.79998168889431442"/>
          <bgColor theme="6" tint="0.79998168889431442"/>
        </patternFill>
      </fill>
      <alignment horizontal="center" vertical="center" textRotation="0" wrapText="0" indent="0" justifyLastLine="0" shrinkToFit="0" readingOrder="0"/>
    </dxf>
    <dxf>
      <border outline="0">
        <bottom style="thin">
          <color theme="6" tint="0.39997558519241921"/>
        </bottom>
      </border>
    </dxf>
    <dxf>
      <font>
        <b/>
        <i val="0"/>
        <strike val="0"/>
        <condense val="0"/>
        <extend val="0"/>
        <outline val="0"/>
        <shadow val="0"/>
        <u val="none"/>
        <vertAlign val="baseline"/>
        <sz val="11"/>
        <color theme="0"/>
        <name val="Calibri"/>
        <scheme val="minor"/>
      </font>
      <numFmt numFmtId="0" formatCode="General"/>
      <fill>
        <patternFill patternType="solid">
          <fgColor theme="6"/>
          <bgColor theme="6"/>
        </patternFill>
      </fill>
      <alignment horizontal="left" vertical="center" textRotation="0" wrapText="0" indent="0" justifyLastLine="0" shrinkToFit="0" readingOrder="0"/>
    </dxf>
    <dxf>
      <font>
        <strike val="0"/>
        <outline val="0"/>
        <shadow val="0"/>
        <u val="none"/>
        <vertAlign val="baseline"/>
        <sz val="10"/>
        <color theme="1"/>
        <name val="Calibri"/>
        <scheme val="minor"/>
      </font>
      <numFmt numFmtId="0" formatCode="General"/>
      <alignment horizontal="center" vertical="bottom" textRotation="0" wrapText="0" indent="0" justifyLastLine="0" shrinkToFit="0" readingOrder="0"/>
    </dxf>
    <dxf>
      <font>
        <strike val="0"/>
        <outline val="0"/>
        <shadow val="0"/>
        <u val="none"/>
        <vertAlign val="baseline"/>
        <sz val="10"/>
        <color theme="1"/>
        <name val="Calibri"/>
        <scheme val="minor"/>
      </font>
      <numFmt numFmtId="0" formatCode="General"/>
    </dxf>
    <dxf>
      <font>
        <strike val="0"/>
        <outline val="0"/>
        <shadow val="0"/>
        <u val="none"/>
        <vertAlign val="baseline"/>
        <sz val="10"/>
        <color theme="1"/>
        <name val="Calibri"/>
        <scheme val="minor"/>
      </font>
      <numFmt numFmtId="0" formatCode="General"/>
    </dxf>
    <dxf>
      <numFmt numFmtId="0" formatCode="General"/>
    </dxf>
    <dxf>
      <font>
        <sz val="10"/>
      </font>
      <numFmt numFmtId="0" formatCode="General"/>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border outline="0">
        <top style="thin">
          <color theme="6" tint="0.39997558519241921"/>
        </top>
        <bottom style="thin">
          <color theme="6" tint="0.39997558519241921"/>
        </bottom>
      </border>
    </dxf>
    <dxf>
      <numFmt numFmtId="0" formatCode="General"/>
      <alignment horizontal="center" vertical="center" textRotation="0" wrapText="0" indent="0" justifyLastLine="0" shrinkToFit="0" readingOrder="0"/>
    </dxf>
    <dxf>
      <numFmt numFmtId="0" formatCode="General"/>
      <alignment horizontal="center" vertical="bottom" textRotation="0" wrapText="0" indent="0" justifyLastLine="0" shrinkToFit="0" readingOrder="0"/>
    </dxf>
    <dxf>
      <font>
        <sz val="10"/>
      </font>
      <numFmt numFmtId="0" formatCode="General"/>
      <alignment horizontal="center" vertical="center" textRotation="0" wrapText="0" indent="0" justifyLastLine="0" shrinkToFit="0" readingOrder="0"/>
    </dxf>
    <dxf>
      <font>
        <strike val="0"/>
        <outline val="0"/>
        <shadow val="0"/>
        <u val="none"/>
        <vertAlign val="baseline"/>
        <sz val="10"/>
        <color theme="1"/>
        <name val="Calibri"/>
        <scheme val="minor"/>
      </font>
      <numFmt numFmtId="0" formatCode="General"/>
      <alignment horizontal="center" vertical="center" textRotation="0" wrapText="0" indent="0" justifyLastLine="0" shrinkToFit="0" readingOrder="0"/>
    </dxf>
    <dxf>
      <numFmt numFmtId="0" formatCode="General"/>
      <alignment horizontal="center" vertical="center" textRotation="0" wrapText="0" indent="0" justifyLastLine="0" shrinkToFit="0" readingOrder="0"/>
    </dxf>
    <dxf>
      <numFmt numFmtId="0" formatCode="General"/>
    </dxf>
    <dxf>
      <font>
        <strike val="0"/>
        <outline val="0"/>
        <shadow val="0"/>
        <u val="none"/>
        <vertAlign val="baseline"/>
        <sz val="10"/>
        <color theme="1"/>
        <name val="Calibri"/>
        <scheme val="minor"/>
      </font>
      <numFmt numFmtId="0" formatCode="General"/>
      <alignment horizontal="center" vertical="center" textRotation="0" wrapText="0" indent="0" justifyLastLine="0" shrinkToFit="0" readingOrder="0"/>
    </dxf>
    <dxf>
      <font>
        <strike val="0"/>
        <outline val="0"/>
        <shadow val="0"/>
        <u val="none"/>
        <vertAlign val="baseline"/>
        <sz val="10"/>
        <color theme="1"/>
        <name val="Calibri"/>
        <scheme val="minor"/>
      </font>
      <numFmt numFmtId="0" formatCode="General"/>
      <alignment horizontal="general" vertical="center" textRotation="0" wrapText="0" indent="0" justifyLastLine="0" shrinkToFit="0" readingOrder="0"/>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numFmt numFmtId="0" formatCode="General"/>
    </dxf>
    <dxf>
      <font>
        <strike val="0"/>
        <outline val="0"/>
        <shadow val="0"/>
        <u val="none"/>
        <vertAlign val="baseline"/>
        <sz val="10"/>
        <color theme="1"/>
        <name val="Calibri"/>
        <scheme val="minor"/>
      </font>
      <numFmt numFmtId="30" formatCode="@"/>
      <alignment horizontal="center" vertical="center" textRotation="0" wrapText="0" indent="0" justifyLastLine="0" shrinkToFit="0" readingOrder="0"/>
    </dxf>
    <dxf>
      <font>
        <strike val="0"/>
        <outline val="0"/>
        <shadow val="0"/>
        <u val="none"/>
        <vertAlign val="baseline"/>
        <sz val="10"/>
        <color theme="1"/>
        <name val="Calibri"/>
        <scheme val="minor"/>
      </font>
      <numFmt numFmtId="30" formatCode="@"/>
      <alignment horizontal="general" vertical="center" textRotation="0" wrapText="0" indent="0" justifyLastLine="0" shrinkToFit="0" readingOrder="0"/>
    </dxf>
    <dxf>
      <numFmt numFmtId="0" formatCode="General"/>
    </dxf>
    <dxf>
      <numFmt numFmtId="0" formatCode="General"/>
    </dxf>
    <dxf>
      <numFmt numFmtId="0" formatCode="General"/>
    </dxf>
    <dxf>
      <numFmt numFmtId="0" formatCode="General"/>
      <alignment horizontal="center" vertical="bottom" textRotation="0" wrapText="0" indent="0" justifyLastLine="0" shrinkToFit="0" readingOrder="0"/>
    </dxf>
    <dxf>
      <numFmt numFmtId="0" formatCode="General"/>
    </dxf>
    <dxf>
      <numFmt numFmtId="0" formatCode="General"/>
    </dxf>
    <dxf>
      <numFmt numFmtId="0" formatCode="General"/>
    </dxf>
    <dxf>
      <font>
        <strike val="0"/>
        <outline val="0"/>
        <shadow val="0"/>
        <u val="none"/>
        <vertAlign val="baseline"/>
        <sz val="10"/>
        <color theme="1"/>
        <name val="Calibri"/>
        <scheme val="minor"/>
      </font>
      <numFmt numFmtId="0" formatCode="General"/>
      <alignment horizontal="center" vertical="bottom" textRotation="0" wrapText="0" indent="0" justifyLastLine="0" shrinkToFit="0" readingOrder="0"/>
    </dxf>
    <dxf>
      <font>
        <strike val="0"/>
        <outline val="0"/>
        <shadow val="0"/>
        <u val="none"/>
        <vertAlign val="baseline"/>
        <sz val="10"/>
        <color theme="1"/>
        <name val="Calibri"/>
        <scheme val="minor"/>
      </font>
      <numFmt numFmtId="0" formatCode="General"/>
    </dxf>
    <dxf>
      <font>
        <strike val="0"/>
        <outline val="0"/>
        <shadow val="0"/>
        <u val="none"/>
        <vertAlign val="baseline"/>
        <sz val="10"/>
        <color theme="1"/>
        <name val="Calibri"/>
        <scheme val="minor"/>
      </font>
      <numFmt numFmtId="0" formatCode="General"/>
    </dxf>
    <dxf>
      <numFmt numFmtId="0" formatCode="General"/>
    </dxf>
    <dxf>
      <font>
        <strike val="0"/>
        <outline val="0"/>
        <shadow val="0"/>
        <u val="none"/>
        <vertAlign val="baseline"/>
        <sz val="10"/>
        <color theme="1"/>
        <name val="Calibri"/>
        <scheme val="minor"/>
      </font>
      <numFmt numFmtId="0" formatCode="General"/>
      <alignment horizontal="center" vertical="center" textRotation="0" wrapText="0" indent="0" justifyLastLine="0" shrinkToFit="0" readingOrder="0"/>
    </dxf>
    <dxf>
      <font>
        <strike val="0"/>
        <outline val="0"/>
        <shadow val="0"/>
        <u val="none"/>
        <vertAlign val="baseline"/>
        <sz val="10"/>
        <color theme="1"/>
        <name val="Calibri"/>
        <scheme val="minor"/>
      </font>
      <numFmt numFmtId="0" formatCode="General"/>
    </dxf>
    <dxf>
      <numFmt numFmtId="0" formatCode="General"/>
    </dxf>
    <dxf>
      <numFmt numFmtId="0" formatCode="General"/>
    </dxf>
    <dxf>
      <font>
        <strike val="0"/>
        <outline val="0"/>
        <shadow val="0"/>
        <u val="none"/>
        <vertAlign val="baseline"/>
        <sz val="10"/>
        <color theme="1"/>
        <name val="Calibri"/>
        <scheme val="minor"/>
      </font>
      <numFmt numFmtId="0" formatCode="General"/>
      <alignment horizontal="center" vertical="center" textRotation="0" wrapText="0" indent="0" justifyLastLine="0" shrinkToFit="0" readingOrder="0"/>
    </dxf>
    <dxf>
      <font>
        <strike val="0"/>
        <outline val="0"/>
        <shadow val="0"/>
        <u val="none"/>
        <vertAlign val="baseline"/>
        <sz val="10"/>
        <color theme="1"/>
        <name val="Calibri"/>
        <scheme val="minor"/>
      </font>
      <numFmt numFmtId="0" formatCode="General"/>
      <alignment horizontal="general" vertical="center" textRotation="0" wrapText="0" indent="0" justifyLastLine="0" shrinkToFit="0" readingOrder="0"/>
    </dxf>
    <dxf>
      <numFmt numFmtId="0" formatCode="General"/>
    </dxf>
    <dxf>
      <font>
        <strike val="0"/>
        <outline val="0"/>
        <shadow val="0"/>
        <u val="none"/>
        <vertAlign val="baseline"/>
        <sz val="10"/>
        <name val="Calibri"/>
        <scheme val="minor"/>
      </font>
      <numFmt numFmtId="0" formatCode="General"/>
      <alignment horizontal="center" vertical="center" textRotation="0" wrapText="0" indent="0" justifyLastLine="0" shrinkToFit="0" readingOrder="0"/>
    </dxf>
    <dxf>
      <font>
        <strike val="0"/>
        <outline val="0"/>
        <shadow val="0"/>
        <u val="none"/>
        <vertAlign val="baseline"/>
        <sz val="10"/>
        <name val="Calibri"/>
        <scheme val="minor"/>
      </font>
      <numFmt numFmtId="0" formatCode="General"/>
      <alignment horizontal="general" vertical="center" textRotation="0" wrapText="0" indent="0" justifyLastLine="0" shrinkToFit="0" readingOrder="0"/>
    </dxf>
    <dxf>
      <border outline="0">
        <bottom style="thin">
          <color theme="4" tint="0.39997558519241921"/>
        </bottom>
      </border>
    </dxf>
    <dxf>
      <numFmt numFmtId="0" formatCode="General"/>
    </dxf>
    <dxf>
      <numFmt numFmtId="0" formatCode="General"/>
    </dxf>
    <dxf>
      <font>
        <sz val="10"/>
      </font>
      <numFmt numFmtId="0" formatCode="General"/>
      <alignment horizontal="center" vertical="center" textRotation="0" wrapText="0" indent="0" justifyLastLine="0" shrinkToFit="0" readingOrder="0"/>
    </dxf>
    <dxf>
      <font>
        <sz val="10"/>
      </font>
      <numFmt numFmtId="0" formatCode="General"/>
      <alignment horizontal="left" vertical="top" textRotation="0" wrapText="1" indent="0" justifyLastLine="0" shrinkToFit="0" readingOrder="0"/>
      <protection locked="0" hidden="0"/>
    </dxf>
    <dxf>
      <numFmt numFmtId="0" formatCode="General"/>
    </dxf>
    <dxf>
      <numFmt numFmtId="0" formatCode="General"/>
    </dxf>
    <dxf>
      <font>
        <strike val="0"/>
        <outline val="0"/>
        <shadow val="0"/>
        <u val="none"/>
        <vertAlign val="baseline"/>
        <sz val="10"/>
        <color theme="1"/>
        <name val="Calibri"/>
        <scheme val="minor"/>
      </font>
      <numFmt numFmtId="0" formatCode="General"/>
      <alignment horizontal="center" vertical="center" textRotation="0" wrapText="0" indent="0" justifyLastLine="0" shrinkToFit="0" readingOrder="0"/>
    </dxf>
    <dxf>
      <font>
        <strike val="0"/>
        <outline val="0"/>
        <shadow val="0"/>
        <u val="none"/>
        <vertAlign val="baseline"/>
        <sz val="10"/>
        <color theme="1"/>
        <name val="Calibri"/>
        <scheme val="minor"/>
      </font>
      <numFmt numFmtId="0" formatCode="General"/>
      <alignment horizontal="general" vertical="center" textRotation="0" wrapText="0" indent="0" justifyLastLine="0" shrinkToFit="0" readingOrder="0"/>
      <protection locked="0" hidden="0"/>
    </dxf>
    <dxf>
      <numFmt numFmtId="0" formatCode="General"/>
    </dxf>
    <dxf>
      <numFmt numFmtId="0" formatCode="General"/>
    </dxf>
    <dxf>
      <font>
        <sz val="10"/>
      </font>
      <numFmt numFmtId="0" formatCode="General"/>
      <alignment horizontal="center" vertical="center" textRotation="0" wrapText="0" indent="0" justifyLastLine="0" shrinkToFit="0" readingOrder="0"/>
    </dxf>
    <dxf>
      <font>
        <sz val="10"/>
      </font>
      <numFmt numFmtId="0" formatCode="General"/>
      <alignment horizontal="left" vertical="top" textRotation="0" wrapText="1" indent="0" justifyLastLine="0" shrinkToFit="0" readingOrder="0"/>
      <protection locked="0" hidden="0"/>
    </dxf>
    <dxf>
      <numFmt numFmtId="0" formatCode="General"/>
    </dxf>
    <dxf>
      <numFmt numFmtId="0" formatCode="General"/>
    </dxf>
    <dxf>
      <font>
        <strike val="0"/>
        <outline val="0"/>
        <shadow val="0"/>
        <u val="none"/>
        <vertAlign val="baseline"/>
        <sz val="10"/>
        <color theme="1"/>
        <name val="Calibri"/>
        <scheme val="minor"/>
      </font>
      <numFmt numFmtId="0" formatCode="General"/>
      <alignment horizontal="center" vertical="center" textRotation="0" wrapText="0" indent="0" justifyLastLine="0" shrinkToFit="0" readingOrder="0"/>
    </dxf>
    <dxf>
      <font>
        <strike val="0"/>
        <outline val="0"/>
        <shadow val="0"/>
        <u val="none"/>
        <vertAlign val="baseline"/>
        <sz val="10"/>
        <color theme="1"/>
        <name val="Calibri"/>
        <scheme val="minor"/>
      </font>
      <numFmt numFmtId="0" formatCode="General"/>
      <alignment horizontal="general" vertical="center" textRotation="0" wrapText="0" indent="0" justifyLastLine="0" shrinkToFit="0" readingOrder="0"/>
      <protection locked="0" hidden="0"/>
    </dxf>
    <dxf>
      <numFmt numFmtId="0" formatCode="General"/>
    </dxf>
    <dxf>
      <numFmt numFmtId="0" formatCode="General"/>
    </dxf>
    <dxf>
      <font>
        <strike val="0"/>
        <outline val="0"/>
        <shadow val="0"/>
        <u val="none"/>
        <vertAlign val="baseline"/>
        <sz val="10"/>
        <color theme="1"/>
        <name val="Calibri"/>
        <scheme val="minor"/>
      </font>
      <numFmt numFmtId="0" formatCode="General"/>
      <alignment horizontal="center" vertical="center" textRotation="0" wrapText="0" indent="0" justifyLastLine="0" shrinkToFit="0" readingOrder="0"/>
    </dxf>
    <dxf>
      <font>
        <strike val="0"/>
        <outline val="0"/>
        <shadow val="0"/>
        <u val="none"/>
        <vertAlign val="baseline"/>
        <sz val="10"/>
        <color theme="1"/>
        <name val="Calibri"/>
        <scheme val="minor"/>
      </font>
      <numFmt numFmtId="0" formatCode="General"/>
      <alignment horizontal="general" vertical="center" textRotation="0" wrapText="0" indent="0" justifyLastLine="0" shrinkToFit="0" readingOrder="0"/>
      <protection locked="0" hidden="0"/>
    </dxf>
    <dxf>
      <numFmt numFmtId="0" formatCode="General"/>
    </dxf>
    <dxf>
      <numFmt numFmtId="0" formatCode="General"/>
    </dxf>
    <dxf>
      <font>
        <b val="0"/>
        <i val="0"/>
        <strike val="0"/>
        <condense val="0"/>
        <extend val="0"/>
        <outline val="0"/>
        <shadow val="0"/>
        <u val="none"/>
        <vertAlign val="baseline"/>
        <sz val="10"/>
        <color theme="1"/>
        <name val="Calibri"/>
        <scheme val="minor"/>
      </font>
      <numFmt numFmtId="0" formatCode="General"/>
      <fill>
        <patternFill patternType="solid">
          <fgColor theme="4" tint="0.79998168889431442"/>
          <bgColor theme="4" tint="0.79998168889431442"/>
        </patternFill>
      </fill>
      <alignment horizontal="center" vertical="bottom" textRotation="0" wrapText="0" indent="0" justifyLastLine="0" shrinkToFit="0" readingOrder="0"/>
      <border diagonalUp="0" diagonalDown="0" outline="0">
        <left/>
        <right/>
        <top style="thin">
          <color theme="4" tint="0.39997558519241921"/>
        </top>
        <bottom/>
      </border>
    </dxf>
    <dxf>
      <font>
        <b val="0"/>
        <i val="0"/>
        <strike val="0"/>
        <condense val="0"/>
        <extend val="0"/>
        <outline val="0"/>
        <shadow val="0"/>
        <u val="none"/>
        <vertAlign val="baseline"/>
        <sz val="10"/>
        <color theme="1"/>
        <name val="Calibri"/>
        <scheme val="minor"/>
      </font>
      <numFmt numFmtId="0" formatCode="General"/>
      <fill>
        <patternFill patternType="solid">
          <fgColor theme="4" tint="0.79998168889431442"/>
          <bgColor theme="4" tint="0.79998168889431442"/>
        </patternFill>
      </fill>
      <border diagonalUp="0" diagonalDown="0" outline="0">
        <left/>
        <right/>
        <top style="thin">
          <color theme="4" tint="0.39997558519241921"/>
        </top>
        <bottom/>
      </border>
    </dxf>
    <dxf>
      <border outline="0">
        <left style="thin">
          <color theme="4" tint="0.39997558519241921"/>
        </left>
        <top style="thin">
          <color theme="4" tint="0.39997558519241921"/>
        </top>
        <bottom style="thin">
          <color theme="4" tint="0.39997558519241921"/>
        </bottom>
      </border>
    </dxf>
    <dxf>
      <numFmt numFmtId="0" formatCode="General"/>
    </dxf>
    <dxf>
      <numFmt numFmtId="0" formatCode="General"/>
    </dxf>
  </dxfs>
  <tableStyles count="0" defaultTableStyle="TableStyleMedium2" defaultPivotStyle="PivotStyleLight16"/>
  <colors>
    <mruColors>
      <color rgb="FFA27F19"/>
      <color rgb="FF203764"/>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xmlMaps.xml><?xml version="1.0" encoding="utf-8"?>
<MapInfo xmlns="http://schemas.openxmlformats.org/spreadsheetml/2006/main" SelectionNamespaces="xmlns:ns1='https://ptb.de/dcc' xmlns:ns2='https://ptb.de/si' xmlns:ns3='http://qudt.org/vocab/' xmlns:ns4='http://www.w3.org/2000/09/xmldsig#'">
  <Schema ID="Schema3" Namespace="http://qudt.org/vocab/">
    <xs:schema xmlns:xs="http://www.w3.org/2001/XMLSchema" xmlns:qudt="http://qudt.org/vocab/" xmlns="" version="2.2.1" targetNamespace="http://qudt.org/vocab/" elementFormDefault="qualified">
      <xs:annotation>
        <xs:documentation xml:lang="en">
            D-SI - Digital System of Units
            Copyright (c) 2018 - 2024 Physikalisch-Technische Bundesanstalt (PTB), all rights reserved. 
            This XML Scheme Definition (XSD) is free software: you can redistribute it and/or modify
            it under the terms of the GNU Lesser General Public License as published by
            the Free Software Foundation, version 3 of the License.
            This XSD is distributed in the hope that it will be useful,
            but WITHOUT ANY WARRANTY; without even the implied warranty of
            MERCHANTABILITY or FITNESS FOR A PARTICULAR PURPOSE. See the
            GNU Lesser General Public License for more details.
            You should have received a copy of the GNU Lesser General Public License
            along with this XSD.  If not, see http://www.gnu.org/licenses.
            CONTACT:            daniel.hutzschenreuter@ptb.de
            DEVELOPMENT:        https://gitlab1.ptb.de/d-ptb/d-si/xsd-d-si
            D-SI XSD VERSION:   2.2.1
            RELEASE DATA:       2024-06-21      
            DOI:                10.5281/zenodo.3366901      
        </xs:documentation>
        <xs:documentation xml:lang="en">
            ACKNOWLEDGEMENT:
            This schema was developped to link QUDT type entities to the D-SI XML implementation.
            Please, visit qudt.org for information about the QUDT web ontology.
            To access the QUDT entries for quantity kinds from the XML, you can use the following PIDs:
            https://qudt.org/vocab/quantitykind/Length  (web page)
            https://qudt.org/vocab/quantitykind/Length.ttl (machine-readable TURTLE data)
        </xs:documentation>
      </xs:annotation>
      <xs:simpleType name="quantitykind">
        <xs:restriction base="xs:string"/>
      </xs:simpleType>
    </xs:schema>
  </Schema>
  <Schema ID="Schema2" SchemaRef="Schema3" Namespace="https://ptb.de/si">
    <xs:schema xmlns:xs="http://www.w3.org/2001/XMLSchema" xmlns:si="https://ptb.de/si" xmlns:qudt="http://qudt.org/vocab/" xmlns="" version="2.2.1" targetNamespace="https://ptb.de/si" elementFormDefault="qualified">
      <xs:annotation>
        <xs:documentation xml:lang="en">
            D-SI - Digital System of Units
            Copyright (c) 2018 - 2024 Physikalisch-Technische Bundesanstalt (PTB), all rights reserved. 
            This XML Scheme Definition (XSD) is free software: you can redistribute it and/or modify
            it under the terms of the GNU Lesser General Public License as published by
            the Free Software Foundation, version 3 of the License.
            This XSD is distributed in the hope that it will be useful,
            but WITHOUT ANY WARRANTY; without even the implied warranty of
            MERCHANTABILITY or FITNESS FOR A PARTICULAR PURPOSE. See the
            GNU Lesser General Public License for more details.
            You should have received a copy of the GNU Lesser General Public License
            along with this XSD.  If not, see http://www.gnu.org/licenses.
            CONTACT:            daniel.hutzschenreuter@ptb.de
            DEVELOPMENT:        https://gitlab1.ptb.de/d-ptb/d-si/xsd-d-si
            D-SI XSD VERSION:   2.2.1
            RELEASE DATA:       2024-06-21      
            DOI:                10.5281/zenodo.3366901      
        </xs:documentation>
        <xs:documentation xml:lang="en">
            ACKNOWLEDGEMENT:
            The development of early versions of the XML scheme was part of the research project EMPIR 17IND02 (title: SmartCom). 
            This project (17IND02) has received funding from the EMPIR programme, co-financed by the Participating States and 
            from the European Union's Horizon 2020 research and innovation programme.
            Further development was supported by project GEMIMEG II and PTB.
            Finally, thanks to all developers from PTB and our partners around the world for fruitful exchange on requirements
            and updates.
        </xs:documentation>
      </xs:annotation>
      <!-- Importing used namespaces -->
      <xs:import namespace="http://qudt.org/vocab/" schemaLocation="Schema3"/>
      <!-- ############## D-SI XML ELEMENT DEFINITIONS FOR MEASUREMETN DATA EXCHANGE #################### -->
      <xs:element name="real" type="si:realQuantityType">
        <xs:annotation>
          <xs:documentation xml:lang="en">
                Metadata element definition for a real measurement quantity.
            </xs:documentation>
          <xs:documentation xml:lang="en">
<![CDATA[
                The following statements of a real quantity are possible.
                [(m)-mandatory, (o)-optional]
                1. Basic measured quantity
                    (o) - element label             (string)
                    (o) - element quantityTypeQUDT  (qudt:quantitykind Type)
                    (m) - element value             (decimal value type)
                    (m) - element unit              (string - SI format)
                    (o) - element significantDigit  (integer)
                    (o) - element dateTime          (xs:dateTime)
                2. Measured quantity with univariate measurement uncertainty
                    (o) - element label             (string)
                    (o) - element quantityTypeQUDT  (qudt:quantitykind Type)
                    (m) - element value             (decimal value type)
                    (m) - element unit              (string - SI format)
                    (o) - element significantDigit  (integer) 
                    (o) - element dateTime          (xs:dateTime)
                    (m) - element measurementUncertaintyUnivariate (si:measurementUncertaintyUnivaraiteType)
                           # with choice   si:standardMU
                              			or si:expandedMU
                              			or si:coverageIntervalMU 
                           # or [deprecated] si:expandedUnc
                           # or [deprecated] si:coverageInterval
                ]]>            
          </xs:documentation>
          <xs:documentation xml:lang="en">
<![CDATA[
                Integration into external XML:
                <myXML xmlns:xs="http://www.w3.org/2001/XMLSchema" xmlns:si="https://ptb.de/si">
                    <xs:element name="individualElement">
                        <xs:complexType>
                            <xs:sequence>
                                <xs:element ref="si:real"/>
                            </xs:sequence>
                        </xs:complexType>
                    </xs:element>
                </myXML>
                ]]>            
          </xs:documentation>
        </xs:annotation>
      </xs:element>
      <xs:complexType name="realQuantityType">
        <xs:sequence>
          <!-- optional label and quantity type-->
          <xs:element name="label" type="xs:string" minOccurs="0"/>
          <xs:element ref="si:quantityType" minOccurs="0"/>
          <!-- mandatory information -->
          <xs:element name="value" type="si:decimalType"/>
          <xs:element name="unit" type="si:unitType"/>
          <!-- optional time stamp and significant digit -->
          <xs:element name="significantDigit" type="si:significantDigitType" minOccurs="0"/>
          <xs:element name="dateTime" type="xs:dateTime" minOccurs="0"/>
          <!-- optional choice of uncertainty statements -->
          <!--<xs:choice minOccurs="0">-->
          <xs:sequence minOccurs="0">
            <xs:annotation>
              <xs:documentation xml:lang="en">
                        univariate measurement uncertainty
                    </xs:documentation>
            </xs:annotation>
            <xs:element name="measurementUncertaintyUnivariate" type="si:measurementUncertaintyUnivariateType"/>
            <!-- deprecated types 
                <xs:element name="expandedUnc" type="si:expandedUncType"/>
                <xs:element name="coverageInterval" type="si:coverageIntervalType"/>-->
            <!--</xs:choice>-->
          </xs:sequence>
        </xs:sequence>
      </xs:complexType>
      <xs:complexType name="measurementUncertaintyUnivariateType">
        <xs:sequence>
          <!--<xs:choice>-->
          <xs:annotation>
            <xs:documentation xml:lang="en">univariate measurement uncertainty</xs:documentation>
          </xs:annotation>
          <!--<xs:element name="standardMU" type="si:standardMUType"/>-->
          <xs:element name="expandedMU" type="si:expandedMUType"/>
          <!--<xs:element name="coverageIntervalMU" type="si:coverageIntervalMUType"/>-->
          <!--</xs:choice>-->
        </xs:sequence>
      </xs:complexType>
      <xs:complexType name="standardMUType">
        <xs:annotation>
          <xs:documentation xml:lang="en">Definition of standard measurement uncertainty data.</xs:documentation>
        </xs:annotation>
        <xs:sequence>
          <xs:element name="valueStandardMU" type="si:valueStandardMUType"/>
          <xs:element name="distribution" type="si:distributionType" minOccurs="0"/>
        </xs:sequence>
      </xs:complexType>
      <xs:complexType name="expandedMUType">
        <xs:annotation>
          <xs:documentation xml:lang="en">Definition of expanded measurement uncertainty data.</xs:documentation>
        </xs:annotation>
        <xs:sequence>
          <xs:element name="valueExpandedMU" type="si:valueExpandedMUType"/>
          <xs:element name="coverageFactor" type="si:kValueType"/>
          <xs:element name="coverageProbability" type="si:probabilityValueType"/>
          <xs:element name="distribution" type="si:distributionType" minOccurs="0"/>
        </xs:sequence>
      </xs:complexType>
      <xs:complexType name="coverageIntervalMUType">
        <xs:annotation>
          <xs:documentation xml:lang="en">Definition of coverage interval measurement uncertainty data.</xs:documentation>
        </xs:annotation>
        <xs:sequence>
          <xs:element name="valueStandardMU" type="si:valueStandardMUType"/>
          <xs:element name="intervalMin" type="si:intervalMinType"/>
          <xs:element name="intervalMax" type="si:intervalMaxType"/>
          <xs:element name="coverageProbability" type="si:probabilityValueType"/>
          <xs:element name="distribution" type="si:distributionType" minOccurs="0"/>
        </xs:sequence>
      </xs:complexType>
      <xs:complexType name="expandedUncType">
        <xs:annotation>
          <xs:documentation xml:lang="en">[deprecated element] use si:expandedMU</xs:documentation>
        </xs:annotation>
        <xs:sequence>
          <xs:element name="uncertainty" type="si:uncertaintyValueType"/>
          <xs:element name="coverageFactor" type="si:kValueType"/>
          <xs:element name="coverageProbability" type="si:probabilityValueType"/>
          <xs:element name="distribution" type="xs:string" minOccurs="0"/>
        </xs:sequence>
      </xs:complexType>
      <xs:complexType name="coverageIntervalType">
        <xs:annotation>
          <xs:documentation xml:lang="en">[deprecated element] use si:coverageIntervalMU</xs:documentation>
        </xs:annotation>
        <xs:sequence>
          <xs:element name="standardUnc" type="si:uncertaintyValueType"/>
          <xs:element name="intervalMin" type="si:decimalType"/>
          <xs:element name="intervalMax" type="si:decimalType"/>
          <xs:element name="coverageProbability" type="si:probabilityValueType"/>
          <xs:element name="distribution" type="xs:string" minOccurs="0"/>
        </xs:sequence>
      </xs:complexType>
      <xs:element name="constant" type="si:constantQuantityType">
        <xs:annotation>
          <xs:documentation xml:lang="en">
                Definition of a structure for real numbers, that represent for fundamental 
                physical constants and mathematical constants.
            </xs:documentation>
          <xs:documentation xml:lang="en">
<![CDATA[
                The element has the following components [(m)-mandatory, (o)-optional]:
                (o) - element label                     (string)
                (o) - element quantityTypeQUDT  		(qudt:quantitykind Type)
                (m) - element value                     (decimal value type) 
                (m) - element unit                      (string - SI unit) 
                (o) - element significantDigit          (integer)
                (o) - element dateTime                  (xs:dateTime)
                (o) - element valueStandardMU           (decimal value >= 0)
                (o) - element distribution              (string)
                The value and the uncertainty have the unit specified by the element unit.
                For fundamental physical constants, that are defined experimentally, the
                uncertainty is the standard deviation.
                For rounded mathematical constants, the uncertainty is the standard deviation
                of a rectangular distribution (element value defines center point), that 
                contains the exact value of the constant with 100 percent probability.
                ]]>            
          </xs:documentation>
        </xs:annotation>
      </xs:element>
      <xs:complexType name="constantQuantityType">
        <xs:sequence>
          <!-- optional label and quantity type-->
          <xs:element name="label" type="xs:string" minOccurs="0"/>
          <xs:element ref="si:quantityType" minOccurs="0"/>
          <!-- mandatory information -->
          <xs:element name="value" type="si:decimalType"/>
          <xs:element name="unit" type="si:unitType"/>
          <!-- optional time stamp and significatn digit -->
          <xs:element name="significantDigit" type="si:significantDigitType" minOccurs="0"/>
          <xs:element name="dateTime" type="xs:dateTime" minOccurs="0"/>
          <!-- optional uncertainty -->
          <xs:element name="valueStandardMU" type="si:valueStandardMUType" minOccurs="0"/>
          <!-- deprecated element standardUnc: use valueStandardMU instead -->
          <xs:element name="uncertainty" type="si:uncertaintyValueType" minOccurs="0">
            <xs:annotation>
              <xs:documentation xml:lang="en">
                        [deprecated element] Use si:valueStandardMU instead.
                    </xs:documentation>
            </xs:annotation>
          </xs:element>
          <!-- optional distribution -->
          <xs:element name="distribution" type="xs:string" minOccurs="0"/>
        </xs:sequence>
      </xs:complexType>
      <xs:element name="complex" type="si:complexQuantityType">
        <xs:annotation>
          <xs:documentation xml:lang="en">
                The definition of complex quantities in the D-SI metadata model.
                Complex quantities allow two representations of complex numerical values:
                One is the Cartesian coordinate form, the other representation is the
                polar coordinate form.
            </xs:documentation>
          <xs:documentation xml:lang="en">
<![CDATA[
                The following statements of a complex quantity are possible. 
                [(m)-mandatory, (o)-optional]
                1. Basic measured quantity in Cartesian form
                    (o) - element label             (string)
                    (o) - element quantityTypeQUDT  (qudt:quantitykind Type)
                    (m) - element valueReal         (decimal value type)
                    (m) - element valueImag         (decimal value type)
                    (m) - element unit              (string - SI unit)
                    (o) - element dateTime          (xs:dateTime)
                2. Basic measured quantity in polar form
                    (o) - element label             (string)
                    (o) - element quantityTypeQUDT  (qudt:quantitykind Type)
                    (m) - element valueMagnitude    (decimal value type)
                    (m) - element valuePhase        (decimal value type)
                    (m) - element unit              (string - SI unit)
                    (m) - element unitPhase         (string - SI unit for an angular quantity)
                    (o) - element dateTime          (xs:dateTime)
                3. Basic measured quantity in Cartesian form with bivariate uncertainty
                    (o) - element label             (string)
                    (o) - element quantityTypeQUDT  (qudt:quantitykind Type)
                    (m) - element valueReal         (decimal value type)
                    (m) - element valueImag         (decimal value type)
                    (m) - element unit              (string - SI unit)
                    (o) - element dateTime          (xs:dateTime)
                    (m) - choice si:ellipsoidalRegion or si:rectangularRegion for the bivariate uncertainty
                4. Basic measured quantity in polar form with bivariate uncertainty
                    (o) - element label             (string)
                    (o) - element quantityTypeQUDT  (qudt:quantitykind Type)
                    (m) - element valueMagnitude    (decimal value type)
                    (m) - element valuePhase        (decimal value type)
                    (m) - element unit              (string - SI unit)
                    (m) - element unitPhase         (string - SI unit for an angular quantity)
                    (o) - element dateTime          (xs:dateTime)
                    (m) - choice si:ellipsoidalRegion or si:rectangularRegion for the bivariate uncertainty
                ]]>            
          </xs:documentation>
        </xs:annotation>
      </xs:element>
      <xs:complexType name="complexQuantityType">
        <xs:sequence>
          <!-- optional label and quantity type-->
          <xs:element name="label" type="xs:string" minOccurs="0"/>
          <xs:element ref="si:quantityType" minOccurs="0"/>
          <!-- choice of Cartesian coordinate form or polar coordinate form -->
          <xs:choice>
            <xs:sequence>
              <!-- mandatory components of Cartesian coordinate form -->
              <xs:element name="valueReal" type="si:decimalType"/>
              <xs:element name="valueImag" type="si:decimalType"/>
              <xs:element name="unit" type="si:unitType"/>
            </xs:sequence>
            <xs:sequence>
              <!-- mandatory components of polar coordinate form -->
              <xs:element name="valueMagnitude" type="si:decimalType"/>
              <xs:element name="valuePhase" type="si:decimalType"/>
              <xs:element name="unit" type="si:unitType"/>
              <xs:element name="unitPhase" type="si:unitPhaseType"/>
            </xs:sequence>
          </xs:choice>
          <!-- optional time stamp -->
          <xs:element name="dateTime" type="xs:dateTime" minOccurs="0"/>
          <!-- optional uncertainty statement: either ellipsoidal or rectangular coverage region -->
          <xs:choice minOccurs="0">
            <xs:annotation>
              <xs:documentation xml:lang="en">
                        bivariate measurement uncertainty
                    </xs:documentation>
            </xs:annotation>
            <xs:element name="ellipsoidalRegion" type="si:ellipsoidalRegionType"/>
            <xs:element name="rectangularRegion" type="si:rectangularRegionType"/>
          </xs:choice>
        </xs:sequence>
      </xs:complexType>
      <xs:complexType name="ellipsoidalRegionType">
        <xs:sequence>
          <!-- covariance matrix data -->
          <xs:element name="covarianceMatrix" type="si:covarianceMatrixType"/>
          <!-- coverage properties of region -->
          <xs:element name="coverageFactor" type="si:kValueType"/>
          <xs:element name="coverageProbability" type="si:probabilityValueType"/>
          <!-- optional information about distribution -->
          <xs:element name="distribution" type="xs:string" minOccurs="0"/>
        </xs:sequence>
      </xs:complexType>
      <xs:complexType name="rectangularRegionType">
        <xs:sequence>
          <!-- covariance matrix data -->
          <xs:element name="covarianceMatrix" type="si:covarianceMatrixType"/>
          <!-- coverage properties of region -->
          <xs:element name="coverageFactor" type="si:kValueType"/>
          <xs:element name="coverageProbability" type="si:probabilityValueType"/>
          <!-- optional information about distribution -->
          <xs:element name="distribution" type="xs:string" minOccurs="0"/>
        </xs:sequence>
      </xs:complexType>
      <xs:complexType name="covarianceMatrixType">
        <xs:sequence>
          <xs:element name="column" minOccurs="1" maxOccurs="unbounded">
            <xs:annotation>
              <xs:documentation xml:lang="en">
                        Definition of a column in the covariance matrix.
                    </xs:documentation>
              <xs:documentation xml:lang="en">
<![CDATA[
                        The column has n covariance elements, where
                        n is the amount of columns in the covariance matrix.
                        The covariance elements are ordered as in the covariance matrix, started
                        at the element in the first row of the matrix and going to the
                        last row of the matrix.
                        ]]>                
              </xs:documentation>
            </xs:annotation>
            <xs:complexType>
              <xs:sequence>
                <xs:element name="covariance" minOccurs="1" maxOccurs="unbounded">
                  <xs:annotation>
                    <xs:documentation xml:lang="en">
                                    Each covariance component is defined by 
                                    - element value     (decimal value type)
                                    - element unit      (string - SI format)
                                </xs:documentation>
                  </xs:annotation>
                  <xs:complexType>
                    <xs:sequence>
                      <xs:element name="value" type="si:decimalType"/>
                      <xs:element name="unit" type="si:unitType"/>
                    </xs:sequence>
                  </xs:complexType>
                </xs:element>
              </xs:sequence>
            </xs:complexType>
          </xs:element>
        </xs:sequence>
      </xs:complexType>
      <xs:element name="realList" type="si:realListType">
        <xs:annotation>
          <xs:documentation xml:lang="en">
                Meta data element definition for a list of real measurement quantities. 
                The list can represent independent measurement or multivariate vector quantities.
            </xs:documentation>
          <xs:documentation xml:lang="en">
<![CDATA[
                 A list can provide the following structures:
                    - list of one ore more si:real elements
                    - optional list timestamp, list label, list quantityType  and/or list unit 
                    - optional list univariate uncertainty statement with list unit
                    - optional multivariate hyper-elliptical or hyper-rectangular coverage region
                ]]>            
          </xs:documentation>
        </xs:annotation>
      </xs:element>
      <xs:complexType name="realListType">
        <xs:sequence>
          <!-- optional label of the list-->
          <xs:element name="label" type="xs:string" minOccurs="0"/>
          <!-- optional list time stamp -->
          <xs:element name="dateTime" type="xs:dateTime" minOccurs="0"/>
          <!-- optional list quantityType -->
          <xs:element ref="si:listQuantityType" minOccurs="0"/>
          <!-- optional list unit -->
          <xs:element name="listUnit" type="si:unitType" minOccurs="0"/>
          <!-- optional list significant digits -->
          <xs:element name="listsignificantDigit" type="si:significantDigitType" minOccurs="0"/>
          <!-- optional list uncertainty -->
          <xs:element name="listMeasurementUncertaintyUnivariate" type="si:listMeasurementUncertaintyUnivariateType" minOccurs="0">
            <xs:annotation>
              <xs:documentation xml:lang="en">
                        Definition of a structure, for a global univariate uncertainty, that
                        is used within the list structure with a list of real quantities.
                        The global univariate uncertainty can either be given as an expanded 
                        measurement uncertainty or as a coverage interval.
                    </xs:documentation>
            </xs:annotation>
          </xs:element>
          <xs:element name="listUnivariateUnc" type="si:listUnivariateUncType" minOccurs="0">
            <xs:annotation>
              <xs:documentation xml:lang="en">[deprecated element] use listMeasurementUncertaintyUnivariate instead</xs:documentation>
            </xs:annotation>
          </xs:element>
          <!-- mandatory list of real elements -->
          <xs:element name="real" type="si:realInListType" maxOccurs="unbounded">
            <xs:annotation>
              <xs:documentation xml:lang="en">
                        Meta data element definition for a real measurement quantity in list.
                        This implementation differs from the pure real quantity in the way that
                        the unit component is optional in order to allow a combination with
                        a global unit in the list of real quantities.
                    </xs:documentation>
            </xs:annotation>
          </xs:element>
          <!-- optional multivariate uncertainty statement -->
          <xs:choice minOccurs="0">
            <xs:annotation>
              <xs:documentation xml:lang="en">
                        multivariate measurement uncertainty
                    </xs:documentation>
            </xs:annotation>
            <xs:element name="ellipsoidalRegion" type="si:ellipsoidalRegionType"/>
            <xs:element name="rectangularRegion" type="si:rectangularRegionType"/>
          </xs:choice>
        </xs:sequence>
      </xs:complexType>
      <xs:complexType name="realInListType">
        <xs:sequence>
          <!-- optional local label and local quantity type-->
          <xs:element name="label" type="xs:string" minOccurs="0"/>
          <xs:element ref="si:quantityType" minOccurs="0"/>
          <!-- mandatory information -->
          <xs:element name="value" type="si:decimalType"/>
          <!-- if list unit, then do not write this local unit -->
          <xs:element name="unit" type="si:unitType" minOccurs="0"/>
          <!-- optional local time stamp and significatn digit -->
          <xs:element name="significantDigit" type="si:significantDigitType" minOccurs="0"/>
          <xs:element name="dateTime" type="xs:dateTime" minOccurs="0"/>
          <!-- optional choice of local uncertainty statements -->
          <xs:choice minOccurs="0">
            <xs:annotation>
              <xs:documentation xml:lang="en">univariate measurement uncertainty</xs:documentation>
            </xs:annotation>
            <xs:element name="measurementUncertaintyUnivaraite" type="si:measurementUncertaintyUnivariateType"/>
            <!-- deprecated types -->
            <xs:element name="expandedUnc" type="si:expandedUncType"/>
            <xs:element name="coverageInterval" type="si:coverageIntervalType"/>
          </xs:choice>
        </xs:sequence>
      </xs:complexType>
      <xs:complexType name="listMeasurementUncertaintyUnivariateType">
        <xs:choice>
          <xs:annotation>
            <xs:documentation xml:lang="en">univariate measurement uncertainty</xs:documentation>
          </xs:annotation>
          <xs:element name="standardMU" type="si:standardMUType"/>
          <xs:element name="expandedMU" type="si:expandedMUType"/>
          <xs:element name="coverageIntervalMU" type="si:coverageIntervalType"/>
          <!-- deprecated types -->
          <xs:element name="expandedUnc" type="si:expandedUncType"/>
          <xs:element name="coverageInterval" type="si:coverageIntervalType"/>
        </xs:choice>
      </xs:complexType>
      <xs:complexType name="listUnivariateUncType">
        <xs:annotation>
          <xs:documentation xml:lang="en">[deprecated type] use listMeasurementUncertaintyUnivariateType instead</xs:documentation>
        </xs:annotation>
        <xs:choice>
          <xs:element name="expandedUnc" type="si:expandedUncType"/>
          <xs:element name="coverageInterval" type="si:coverageIntervalType"/>
        </xs:choice>
      </xs:complexType>
      <xs:element name="realListXMLList" type="si:realListXMLListType">
        <xs:annotation>
          <xs:documentation xml:lang="en">
                Meta data element definition for a list of real measurement quantities based on
                the XML type xsd:list. The list can represent independent measurement or multivariate 
                vector quantities. The listed data is separated by blank spaces allowing a memory
                saving implementation of large data sets.
            </xs:documentation>
          <xs:documentation xml:lang="en">
<![CDATA[
                 A list can provide the following structures:
                    - list of one ore more si:value elements separated by blank spaces
                    - optional list timestamp, list label, and/or list unit 
                    - optional list univariate uncertainty statement with list unit
                    - optional multivariate hyper-elliptical or hyper-rectangular coverage region
                ]]>            
          </xs:documentation>
        </xs:annotation>
      </xs:element>
      <xs:complexType name="realListXMLListType">
        <xs:sequence>
          <!-- optional label and quantity type-->
          <xs:element name="labelXMLList" type="si:stringXMLListType" minOccurs="0"/>
          <xs:element ref="si:quantityTypeXMLList" minOccurs="0"/>
          <!-- mandatory information -->
          <xs:element name="valueXMLList" type="si:decimalXMLListType"/>
          <xs:element name="unitXMLList" type="si:unitXMLListType"/>
          <!-- optional time stamp & significant digit -->
          <xs:element name="significantDigitXMLList" type="si:significantDigitXMLListType" minOccurs="0"/>
          <xs:element name="dateTimeXMLList" type="si:dateTimeXMLListType" minOccurs="0"/>
          <!-- optional choice of uncertainty statements -->
          <xs:choice minOccurs="0">
            <xs:annotation>
              <xs:documentation xml:lang="en">univariate measurement uncertainty</xs:documentation>
            </xs:annotation>
            <xs:element name="measurementUncertaintyUnivariateXMLList" type="si:measurementUncertaintyUnivariateXMLListType"/>
            <!-- deprecated types -->
            <xs:element name="expandedUncXMLList" type="si:expandedUncXMLListType"/>
            <xs:element name="coverageIntervalXMLList" type="si:coverageIntervalXMLListType"/>
          </xs:choice>
          <xs:choice minOccurs="0">
            <xs:annotation>
              <xs:documentation xml:lang="en">multivariate measurement uncertainty</xs:documentation>
            </xs:annotation>
            <xs:element name="measurementUncertaintyMultivariateXMLList" type="si:measurementUncertaintyMultivariateXMLListType"/>
            <!-- [deprecated elements] use mUncMultivarEllipsoidalXMLList or mUncMultivarRectangularXMLList instead -->
            <xs:element name="ellipsoidalRegionXMLList" type="si:ellipsoidalRegionType"/>
            <xs:element name="rectangularRegionXMLList" type="si:rectangularRegionType"/>
          </xs:choice>
        </xs:sequence>
      </xs:complexType>
      <xs:complexType name="measurementUncertaintyUnivariateXMLListType">
        <xs:choice>
          <xs:annotation>
            <xs:documentation xml:lang="en">univariate measurement uncertainty as XML List</xs:documentation>
          </xs:annotation>
          <xs:element name="standardMUXMLList" type="si:standardMUXMLListType"/>
          <xs:element name="expandedMUXMLList" type="si:expandedMUXMLListType"/>
          <xs:element name="coverageIntervalMUXMLList" type="si:coverageIntervalMUXMLListType"/>
        </xs:choice>
      </xs:complexType>
      <xs:complexType name="standardMUXMLListType">
        <xs:annotation>
          <xs:documentation xml:lang="en">Definition of standard measurement uncertainty data.</xs:documentation>
        </xs:annotation>
        <xs:sequence>
          <xs:element name="valueStandardMUXMLList" type="si:valueStandardMUXMLListType"/>
          <xs:element name="distributionXMLList" type="si:distributionXMLListType" minOccurs="0"/>
        </xs:sequence>
      </xs:complexType>
      <xs:complexType name="expandedMUXMLListType">
        <xs:annotation>
          <xs:documentation xml:lang="en">Definition of expanded measurement uncertainty data.</xs:documentation>
        </xs:annotation>
        <xs:sequence>
          <xs:element name="valueExpandedMUXMLList" type="si:valueExpandedMUXMLListType"/>
          <xs:element name="coverageFactorXMLList" type="si:kValueXMLListType"/>
          <xs:element name="coverageProbabilityXMLList" type="si:probabilityValueXMLListType"/>
          <xs:element name="distributionXMLList" type="si:distributionXMLListType" minOccurs="0"/>
        </xs:sequence>
      </xs:complexType>
      <xs:complexType name="coverageIntervalMUXMLListType">
        <xs:annotation>
          <xs:documentation xml:lang="en">Definition of coverage interval measurement uncertainty data.</xs:documentation>
        </xs:annotation>
        <xs:sequence>
          <xs:element name="valueStandardMUXMLList" type="si:valueStandardMUXMLListType"/>
          <xs:element name="intervalMinXMLList" type="si:intervalMinXMLListType"/>
          <xs:element name="intervalMaxXMLList" type="si:intervalMaxXMLListType"/>
          <xs:element name="coverageProbabilityXMLList" type="si:probabilityValueXMLListType"/>
          <xs:element name="distributionXMLList" type="si:distributionXMLListType" minOccurs="0"/>
        </xs:sequence>
      </xs:complexType>
      <xs:complexType name="expandedUncXMLListType">
        <xs:annotation>
          <xs:documentation xml:lang="en">[deprecated type] use si:expandedMUXMLListType </xs:documentation>
        </xs:annotation>
        <xs:sequence>
          <xs:element name="uncertaintyXMLList" type="si:uncertaintyValueXMLListType"/>
          <xs:element name="coverageFactorXMLList" type="si:kValueXMLListType"/>
          <xs:element name="coverageProbabilityXMLList" type="si:probabilityValueXMLListType"/>
          <xs:element name="distributionXMLList" type="si:stringXMLListType" minOccurs="0"/>
        </xs:sequence>
      </xs:complexType>
      <xs:complexType name="coverageIntervalXMLListType">
        <xs:annotation>
          <xs:documentation xml:lang="en">[deprecated type] use si:coverageIntervalMUXMLListType</xs:documentation>
        </xs:annotation>
        <xs:sequence>
          <xs:element name="standardUncXMLList" type="si:uncertaintyValueXMLListType"/>
          <xs:element name="intervalMinXMLList" type="si:decimalXMLListType"/>
          <xs:element name="intervalMaxXMLList" type="si:decimalXMLListType"/>
          <xs:element name="coverageProbabilityXMLList" type="si:probabilityValueXMLListType"/>
          <xs:element name="distributionXMLList" type="si:stringXMLListType" minOccurs="0"/>
        </xs:sequence>
      </xs:complexType>
      <xs:complexType name="measurementUncertaintyMultivariateXMLListType">
        <xs:choice minOccurs="0">
          <xs:annotation>
            <xs:documentation xml:lang="en">
                    multivariate measurement uncertainty in XML list.
                </xs:documentation>
          </xs:annotation>
          <xs:element name="ellipsoidalRegionMUXMLList" type="si:ellipsoidalRegionMUXMLListType"/>
          <xs:element name="rectangularRegionMUXMLList" type="si:rectangularRegionMUXMLListType"/>
        </xs:choice>
      </xs:complexType>
      <xs:complexType name="ellipsoidalRegionMUXMLListType">
        <xs:sequence>
          <!-- covariance matrix data -->
          <xs:element name="covarianceMatrixXMLList" type="si:covarianceMatrixXMLListType"/>
          <!-- coverage properties of region -->
          <xs:element name="coverageFactorXMLList" type="si:kValueXMLListType"/>
          <xs:element name="coverageProbabilityXMLList" type="si:probabilityValueXMLListType"/>
          <!-- optional information about distribution -->
          <xs:element name="distributionXMLList" type="si:distributionXMLListType" minOccurs="0"/>
        </xs:sequence>
      </xs:complexType>
      <xs:complexType name="rectangularRegionMUXMLListType">
        <xs:sequence>
          <!-- covariance matrix data -->
          <xs:element name="covarianceMatrixXMLList" type="si:covarianceMatrixXMLListType"/>
          <!-- coverage properties of region -->
          <xs:element name="coverageFactorXMLList" type="si:kValueXMLListType"/>
          <xs:element name="coverageProbabilityXMLList" type="si:probabilityValueXMLListType"/>
          <!-- optional information about distribution -->
          <xs:element name="distributionXMLList" type="si:distributionXMLListType" minOccurs="0"/>
        </xs:sequence>
      </xs:complexType>
      <xs:complexType name="covarianceMatrixXMLListType">
        <xs:sequence>
          <xs:element name="columnXMLList" minOccurs="1" maxOccurs="unbounded">
            <xs:annotation>
              <xs:documentation xml:lang="en">
                        Definition of a column in the covariance matrix.
                    </xs:documentation>
              <xs:documentation xml:lang="en">
<![CDATA[
                        The column has n covariance elements, where
                        n is the amount of columns in the covariance matrix.
                        The covariance elements are ordered as in the covariance matrix, started
                        at the element in the first row of the matrix and going to the
                        last row of the matrix.
                        ]]>                
              </xs:documentation>
            </xs:annotation>
            <xs:complexType>
              <xs:sequence>
                <xs:element name="covarianceXMLList" type="si:covarianceXMLListType" minOccurs="1" maxOccurs="unbounded">
                  <xs:annotation>
                    <xs:documentation xml:lang="en">
                                    Each covariance component is defined by 
                                    - element value     (decimal value type)
                                    - element unit      (string - SI format)
                                </xs:documentation>
                  </xs:annotation>
                </xs:element>
              </xs:sequence>
            </xs:complexType>
          </xs:element>
        </xs:sequence>
      </xs:complexType>
      <xs:complexType name="covarianceXMLListType">
        <xs:sequence>
          <xs:element name="valueXMLList" type="si:decimalXMLListType"/>
          <xs:element name="unitXMLList" type="si:unitXMLListType"/>
        </xs:sequence>
      </xs:complexType>
      <xs:element name="complexList" type="si:complexListType">
        <xs:annotation>
          <xs:documentation xml:lang="en">
                Meta data element definition for a list of complex measurement quantities. 
                The list can represent independent measurement or multivariate vector quantities.
            </xs:documentation>
          <xs:documentation xml:lang="en">
<![CDATA[
                 This list can provide the following structures:
                    - list of one ore more si:complex elements
                    - optional list timestamp, list label, and/or list unit(s) 
                    - optional list bivariate uncertainty statement with list unit(s)
                    - optional multivariate hyper-elliptical or hyper-rectangular coverage region
                ]]>            
          </xs:documentation>
        </xs:annotation>
      </xs:element>
      <xs:complexType name="complexListType">
        <xs:sequence>
          <!-- optional label of the list -->
          <xs:element name="label" type="xs:string" minOccurs="0"/>
          <!-- optional list time stamp -->
          <xs:element name="dateTime" type="xs:dateTime" minOccurs="0"/>
          <!-- optional list quantityType -->
          <xs:element ref="si:listQuantityType" minOccurs="0"/>
          <!-- optional list unit -->
          <xs:element name="listUnit" type="si:unitType" minOccurs="0"/>
          <xs:element name="listUnitPhase" type="xs:string" minOccurs="0"/>
          <!-- optional list bivariate uncertainty -->
          <xs:element name="listBivariateUnc" type="si:listBivariateUncType" minOccurs="0">
            <xs:annotation>
              <xs:documentation xml:lang="en">
                        Definition of a structure, for a global bivariate uncertainty, that
                        is used within the list structure with a list of complex quantities.
                        The global bivariate uncertainty can either be given as a hyper-ellipsoidal
                        coverage region or a hyper-rectangular coverage region. Both
                        coverage regions must provide a covariance matrix of dimension 2.
                    </xs:documentation>
            </xs:annotation>
          </xs:element>
          <!-- mandatory list of complex elements -->
          <xs:element name="complex" type="si:complexInListType" maxOccurs="unbounded">
            <xs:annotation>
              <xs:documentation xml:lang="en">
                        Meta data element definition for a complex measurement quantity in list.
                        This implementation differs from the pure complex quantity, in the way that
                        the unit components are optional in order to allow a combination with
                        a global unit in the list of complex quantities.
                    </xs:documentation>
            </xs:annotation>
          </xs:element>
          <!-- optional multivariate uncertainty statement -->
          <xs:choice minOccurs="0">
            <xs:annotation>
              <xs:documentation xml:lang="en">
                        multivariate measurement uncertainty
                    </xs:documentation>
            </xs:annotation>
            <xs:element name="ellipsoidalRegion" type="si:ellipsoidalRegionType"/>
            <xs:element name="rectangularRegion" type="si:rectangularRegionType"/>
          </xs:choice>
        </xs:sequence>
      </xs:complexType>
      <xs:complexType name="complexInListType">
        <xs:sequence>
          <!-- optional local label and local quantity type-->
          <xs:element name="label" type="xs:string" minOccurs="0"/>
          <xs:element ref="si:quantityType" minOccurs="0"/>
          <!-- choice of Cartesian coordinate form or polar coordinate form -->
          <xs:choice>
            <xs:sequence>
              <!-- mandatory components of Cartesian coordinate form -->
              <xs:element name="valueReal" type="si:decimalType"/>
              <xs:element name="valueImag" type="si:decimalType"/>
              <!-- if list unit, then do not write this local unit -->
              <xs:element name="unit" type="si:unitType" minOccurs="0"/>
            </xs:sequence>
            <xs:sequence>
              <!-- mandatory components of polar coordinate form -->
              <xs:element name="valueMagnitude" type="si:decimalType"/>
              <xs:element name="valuePhase" type="si:decimalType"/>
              <!-- if list unit, then do not write this local unit -->
              <xs:element name="unit" type="si:unitType" minOccurs="0"/>
              <!-- if list unit, then do not write this local unit -->
              <xs:element name="unitPhase" type="si:unitPhaseType" minOccurs="0"/>
            </xs:sequence>
          </xs:choice>
          <!-- optional local time stamp -->
          <xs:element name="dateTime" type="xs:dateTime" minOccurs="0"/>
          <!-- optional local uncertainty statement: either ellipsoidal or rectangular coverage region -->
          <xs:choice minOccurs="0">
            <xs:annotation>
              <xs:documentation xml:lang="en">
                        bivariate measurement uncertainty
                    </xs:documentation>
            </xs:annotation>
            <xs:element name="ellipsoidalRegion" type="si:ellipsoidalRegionType"/>
            <xs:element name="rectangularRegion" type="si:rectangularRegionType"/>
          </xs:choice>
        </xs:sequence>
      </xs:complexType>
      <xs:complexType name="listBivariateUncType">
        <xs:choice minOccurs="0">
          <xs:annotation>
            <xs:documentation xml:lang="en">
                    bivariate measurement uncertainty
                </xs:documentation>
          </xs:annotation>
          <xs:element name="ellipsoidalRegion" type="si:ellipsoidalRegionType"/>
          <xs:element name="rectangularRegion" type="si:rectangularRegionType"/>
        </xs:choice>
      </xs:complexType>
      <xs:element name="complexListXMLList" type="si:complexListXMLListType">
        <xs:annotation>
          <xs:documentation xml:lang="en">
                Meta data element definition for a list of complex measurement quantities. 
                The list can represent independent measurement or multivariate vector quantities.
                The list support blank space sepetrated values.
            </xs:documentation>
          <xs:documentation xml:lang="en">
<![CDATA[
                 This list can provide the following structures:
                    - list of one ore more si:complex elements
                    - optional list timestamp, list label, and/or list unit(s) 
                    - optional list bivariate uncertainty statement with list unit(s)
                    - optional multivariate hyper-elliptical or hyper-rectangular coverage region
                ]]>            
          </xs:documentation>
        </xs:annotation>
      </xs:element>
      <xs:complexType name="complexListXMLListType">
        <xs:sequence>
          <!-- optional label and quantity type-->
          <xs:element name="labelXMLList" type="si:stringXMLListType" minOccurs="0"/>
          <xs:element ref="si:quantityTypeXMLList" minOccurs="0"/>
          <!-- choice of Cartesian coordinate form or polar coordinate form -->
          <xs:choice>
            <xs:sequence>
              <!-- mandatory components of Cartesian coordinate form -->
              <xs:element name="valueRealXMLList" type="si:decimalXMLListType"/>
              <xs:element name="valueImagXMLList" type="si:decimalXMLListType"/>
              <xs:element name="unitXMLList" type="si:unitXMLListType"/>
            </xs:sequence>
            <xs:sequence>
              <!-- mandatory components of polar coordinate form -->
              <xs:element name="valueMagnitudeXMLList" type="si:decimalXMLListType"/>
              <xs:element name="valuePhaseXMLList" type="si:decimalXMLListType"/>
              <xs:element name="unitXMLList" type="si:unitXMLListType"/>
              <xs:element name="unitPhaseXMLList" type="si:unitPhaseXMLListType"/>
            </xs:sequence>
          </xs:choice>
          <!-- optional time stamp -->
          <xs:element name="dateTimeXMLList" type="si:dateTimeXMLListType" minOccurs="0"/>
          <!-- optional uncertainty statement: either ellipsoidal or rectangular coverage region -->
          <xs:element name="measurementUncertaintyBivariateXMLList" type="si:measurementUncertaintyBivariateXMLListType" minOccurs="0">
            <xs:annotation>
              <xs:documentation xml:lang="en">
                        bivariate measurement uncertainty
                    </xs:documentation>
            </xs:annotation>
          </xs:element>
          <!-- optional multivariate uncertainty statement -->
          <xs:element name="measurementUncertaintyMultivariateXMLList" type="si:measurementUncertaintyMultivariateXMLListType" minOccurs="0">
            <xs:annotation>
              <xs:documentation xml:lang="en">
                        multivariate measurement uncertainty
                    </xs:documentation>
            </xs:annotation>
          </xs:element>
        </xs:sequence>
      </xs:complexType>
      <xs:complexType name="measurementUncertaintyBivariateXMLListType">
        <xs:choice minOccurs="0">
          <xs:annotation>
            <xs:documentation xml:lang="en">
                    bivariate measurement uncertainty in XML list for complex quantities.
                </xs:documentation>
          </xs:annotation>
          <xs:element name="ellipsoidalRegionMUXMLList" type="si:ellipsoidalRegionMUXMLListType"/>
          <xs:element name="rectangularRegionMUXMLList" type="si:rectangularRegionMUXMLListType"/>
        </xs:choice>
      </xs:complexType>
      <xs:element name="list" type="si:listType">
        <xs:annotation>
          <xs:documentation xml:lang="en">
                Meta data element definition for a list of basic measurement quantities. 
                The list can represent independent measurement or multivariate vector quantities.
            </xs:documentation>
          <xs:documentation xml:lang="en">
<![CDATA[
                 This list can provide the following nested structures:
                    - si:list elements and
                    - si:realList elements and
                    - si:complexList elements
                ]]>            
          </xs:documentation>
        </xs:annotation>
      </xs:element>
      <xs:complexType name="listType">
        <xs:sequence>
          <!-- optional label of the list -->
          <xs:element name="label" type="xs:string" minOccurs="0"/>
          <!-- optional list time stamp -->
          <xs:element name="dateTime" type="xs:dateTime" minOccurs="0"/>
          <!-- selection between list of lists and list of real or complex -->
          <xs:choice maxOccurs="unbounded">
            <!-- either list of real -->
            <xs:element name="realList" type="si:realListType"/>
            <xs:element name="realListXMLList" type="si:realListXMLListType"/>
            <!-- or list of complex -->
            <xs:element name="complexList" type="si:complexListType"/>
            <xs:element name="complexListXMLList" type="si:complexListXMLListType"/>
            <!-- or list of lists -->
            <xs:element name="list" type="si:listType"/>
          </xs:choice>
        </xs:sequence>
      </xs:complexType>
      <xs:element name="hybrid" type="si:hybridType">
        <xs:annotation>
          <xs:documentation xml:lang="en">
                The hybrid elements allows to add quantities to the
                machine readable D-SI format, with other units, than those allowed
                to be used with the SI by means of the BIPM SI brochure.
            </xs:documentation>
          <xs:documentation xml:lang="en">
<![CDATA[
                 The hybrid element can contain the following information
                 1. A set of real quantities
                    - all real elements provide a quantity value for one and the same measured quantity
                    - each real element provides this quantity with a different unit
                    - at least one real element provides the quantity with a machine readable SI unit
                    - the other real quantities can use any SI or non-SI unit
                 2. A set of complex quantities
                    - all complex elements provide a quantity value for one and the same measured quantity
                    - each complex element provides this quantity with a different unit(s)
                    - at least one complex element provides the quantity with a machine readable SI unit(s)
                    - the other complex quantities can use any SI or non-SI unit
                3. A set of list elements
                    - all list elements must provide the same quantity information and hence, must have
                      an identical structure.
                    - the lists do only differ by using different units for each of the quantities
                    - at least one list  provides all quantities only with machine readable SI units
                    - the other lists can use any other units for the quantities
                    - Applicable list types are si:list, si:realList, si:complexList and si:realListXMLList.
                4. A set of constant quantities
                    - all constant elements provide a quantity value for one and the same quantity
                    - each constant element provides this quantity with a different unit
                    - at least one constant element provides the quantity with a machine readable SI unit
                    - the other constant quantities can use any SI or non-SI unit
                ]]>            
          </xs:documentation>
        </xs:annotation>
      </xs:element>
      <xs:complexType name="hybridType">
        <xs:sequence>
          <!-- mandatory adapter for at least one SI quantity and additional (non-) SI quantities -->
          <!--<xs:choice> -->
          <xs:sequence>
            <xs:element name="real" type="si:realQuantityType" minOccurs="1" maxOccurs="unbounded"/>
            <xs:element name="realbase" type="si:realQuantityType" minOccurs="1"/>
            <xs:element name="realDerived" type="si:realQuantityType" minOccurs="1"/>
            <xs:element name="complex" type="si:complexQuantityType" minOccurs="1" maxOccurs="unbounded"/>
            <xs:element name="list" type="si:listType" minOccurs="1" maxOccurs="unbounded"/>
            <xs:element name="realList" type="si:realListType" minOccurs="1" maxOccurs="unbounded"/>
            <xs:element name="realListXMLList" type="si:realListXMLListType" minOccurs="1" maxOccurs="unbounded"/>
            <xs:element name="complexList" type="si:complexListType" minOccurs="1" maxOccurs="unbounded"/>
            <xs:element name="complexListXMLList" type="si:complexListXMLListType" minOccurs="1" maxOccurs="unbounded"/>
            <xs:element name="constant" type="si:constantQuantityType" minOccurs="1" maxOccurs="unbounded"/>
            <!--</xs:choice>-->
          </xs:sequence>
        </xs:sequence>
      </xs:complexType>
      <!-- ############## D-SI XML INTERNALLY USED SIMPLE TYPE DEFINITIONS #################### -->
      <xs:element name="quantityType" type="xs:string" abstract="true">
        <xs:annotation>
          <xs:documentation xml:lang="en">
                Definition of placeholder element for providing different quantity types.
            </xs:documentation>
        </xs:annotation>
      </xs:element>
      <xs:element name="quantityTypeQUDT" substitutionGroup="si:quantityType" type="qudt:quantitykind">
        <xs:annotation>
          <xs:documentation xml:lang="en">
                Definition of a quantity element that links to the QUDT 
                ontology IDs for qauntities.
            </xs:documentation>
        </xs:annotation>
      </xs:element>
      <!--<xs:element name="quantityTypeIEC" substitutionGroup="si:quantityType"/>-->
      <xs:element name="listQuantityType" type="xs:string" abstract="true">
        <xs:annotation>
          <xs:documentation xml:lang="en">
                Definition of placeholder element for providing different quantity types.
            </xs:documentation>
        </xs:annotation>
      </xs:element>
      <xs:element name="listQuantityTypeQUDT" substitutionGroup="si:listQuantityType" type="qudt:quantitykind">
        <xs:annotation>
          <xs:documentation xml:lang="en">
                Definition of a quantity element that links to the QUDT 
                ontology IDs for qauntities.
            </xs:documentation>
        </xs:annotation>
      </xs:element>
      <xs:element name="quantityTypeXMLList" type="xs:string" abstract="true">
        <xs:annotation>
          <xs:documentation xml:lang="en">
                Definition of placeholder element for providing different quantity types.
            </xs:documentation>
        </xs:annotation>
      </xs:element>
      <xs:element name="quantityTypeQUDTXMLList" substitutionGroup="si:quantityTypeXMLList" type="qudt:quantitykind">
        <xs:annotation>
          <xs:documentation xml:lang="en">
                Definition of a quantity element that links to the QUDT 
                ontology IDs for qauntities.
            </xs:documentation>
        </xs:annotation>
      </xs:element>
      <xs:simpleType name="unitType">
        <xs:annotation>
          <xs:documentation xml:lang="en">
                BIPM SI brochure unit (9th edition).
                Based on xs:string.
            </xs:documentation>
        </xs:annotation>
        <xs:restriction base="xs:string">
				</xs:restriction>
      </xs:simpleType>
      <xs:simpleType name="unitXMLListType">
        <xs:annotation>
          <xs:documentation xml:lang="en">
                Type providing listing of units (si:unitType) 
                with separation by blank spaces.
            </xs:documentation>
        </xs:annotation>
        <xs:list itemType="si:unitType"/>
      </xs:simpleType>
      <xs:simpleType name="unitPhaseType">
        <xs:annotation>
          <xs:documentation xml:lang="en">
                Unit of angular quantity in SI.
                Based on xs:string.
            </xs:documentation>
        </xs:annotation>
        <xs:restriction base="xs:string">
				</xs:restriction>
      </xs:simpleType>
      <xs:simpleType name="unitPhaseXMLListType">
        <xs:annotation>
          <xs:documentation xml:lang="en">
                Type providing listing of phase angle units (si:unitPhase Type) 
                with separation by blank spaces.
            </xs:documentation>
        </xs:annotation>
        <xs:list itemType="si:unitPhaseType"/>
      </xs:simpleType>
      <xs:simpleType name="decimalType">
        <xs:annotation>
          <xs:documentation xml:lang="en">
                Scientific decimal format for numerical values.
                Based on type xs:double.
            </xs:documentation>
        </xs:annotation>
        <xs:restriction base="xs:double">
          <xs:pattern value="[-+]?((\d*\.\d+)|(\d+\.\d*)|(\d+\.?))([Ee][-+]?\d+)?|NaN"/>
        </xs:restriction>
      </xs:simpleType>
      <xs:simpleType name="decimalXMLListType">
        <xs:annotation>
          <xs:documentation xml:lang="en">
                Type providing listing of values (si:decimalType) 
                with separation by blank spaces.
            </xs:documentation>
        </xs:annotation>
        <xs:list itemType="si:decimalType"/>
      </xs:simpleType>
      <xs:simpleType name="valueStandardMUType">
        <xs:annotation>
          <xs:documentation xml:lang="en">
                Scientific decimal format for numerical values of standard 
                measurement uncertainty that must be positive 
                (greater than zero or equal to zero).
                Based on type xs:double.
            </xs:documentation>
        </xs:annotation>
        <xs:restriction base="xs:double">
          <xs:pattern value="\+?((\d*\.\d+)|(\d+\.\d*)|(\d+\.?))([Ee][-+]?\d+)?|NaN"/>
        </xs:restriction>
      </xs:simpleType>
      <xs:simpleType name="valueStandardMUXMLListType">
        <xs:annotation>
          <xs:documentation xml:lang="en">
                Type providing listing of values (si:valueStandardMUType) 
                with separation by blank spaces.
            </xs:documentation>
        </xs:annotation>
        <xs:list itemType="si:valueStandardMUType"/>
      </xs:simpleType>
      <xs:simpleType name="valueExpandedMUType">
        <xs:annotation>
          <xs:documentation xml:lang="en">
                Scientific decimal format for numerical values of expanded 
                measurement uncertainty that must be positive 
                (greater than zero or equal to zero).
                Based on type xs:double.
            </xs:documentation>
        </xs:annotation>
        <xs:restriction base="xs:double">
          <xs:pattern value="\+?((\d*\.\d+)|(\d+\.\d*)|(\d+\.?))([Ee][-+]?\d+)?|NaN"/>
        </xs:restriction>
      </xs:simpleType>
      <xs:simpleType name="valueExpandedMUXMLListType">
        <xs:annotation>
          <xs:documentation xml:lang="en">
                Type providing listing of values (si:valueStandardMUType) 
                with separation by blank spaces.
            </xs:documentation>
        </xs:annotation>
        <xs:list itemType="si:valueExpandedMUType"/>
      </xs:simpleType>
      <xs:simpleType name="uncertaintyValueType">
        <xs:annotation>
          <xs:documentation xml:lang="en">
                [deprecated element] use 
                si:valueExpandedMUType
                or si:valueStandardMUType
            </xs:documentation>
        </xs:annotation>
        <xs:restriction base="xs:double">
          <xs:pattern value="\+?((\d*\.\d+)|(\d+\.\d*)|(\d+\.?))([Ee][-+]?\d+)?|NaN"/>
        </xs:restriction>
      </xs:simpleType>
      <xs:simpleType name="uncertaintyValueXMLListType">
        <xs:annotation>
          <xs:documentation xml:lang="en">
                [deprecated element] use 
                si:valueExpandedMUXMLListType
                or si:valueStandardMUXMLListType
            </xs:documentation>
        </xs:annotation>
        <xs:list itemType="si:uncertaintyValueType"/>
      </xs:simpleType>
      <xs:simpleType name="intervalMinType">
        <xs:annotation>
          <xs:documentation xml:lang="en">
                Scientific decimal format for numerical values.
                Based on type xs:double.
            </xs:documentation>
        </xs:annotation>
        <xs:restriction base="xs:double">
          <xs:pattern value="[-+]?((\d*\.\d+)|(\d+\.\d*)|(\d+\.?))([Ee][-+]?\d+)?|NaN"/>
        </xs:restriction>
      </xs:simpleType>
      <xs:simpleType name="intervalMinXMLListType">
        <xs:annotation>
          <xs:documentation xml:lang="en">
                Type providing listing of values (si:intervalMinType) 
                with separation by blank spaces.
            </xs:documentation>
        </xs:annotation>
        <xs:list itemType="si:intervalMinType"/>
      </xs:simpleType>
      <xs:simpleType name="intervalMaxType">
        <xs:annotation>
          <xs:documentation xml:lang="en">
                Scientific decimal format for numerical values.
                Based on type xs:double.
            </xs:documentation>
        </xs:annotation>
        <xs:restriction base="xs:double">
          <xs:pattern value="[-+]?((\d*\.\d+)|(\d+\.\d*)|(\d+\.?))([Ee][-+]?\d+)?|NaN"/>
        </xs:restriction>
      </xs:simpleType>
      <xs:simpleType name="intervalMaxXMLListType">
        <xs:annotation>
          <xs:documentation xml:lang="en">
                Type providing listing of values (si:intervalMaxType) 
                with separation by blank spaces.
            </xs:documentation>
        </xs:annotation>
        <xs:list itemType="si:intervalMaxType"/>
      </xs:simpleType>
      <xs:simpleType name="kValueType">
        <xs:annotation>
          <xs:documentation xml:lang="en">
                Scientific decimal format for coverage factor values for uncertainties
                that must be greater than one or equal to one.
                Based on type xs:double.
            </xs:documentation>
        </xs:annotation>
        <xs:restriction base="xs:double">
          <xs:pattern value="\+?(([1-9]\d*\.\d*)|([1-9]\d*))|NaN"/>
        </xs:restriction>
      </xs:simpleType>
      <xs:simpleType name="kValueXMLListType">
        <xs:annotation>
          <xs:documentation xml:lang="en">
                Type providing listing of coverage factor values (si:kValueType) 
                with separation by blank spaces.
            </xs:documentation>
        </xs:annotation>
        <xs:list itemType="si:kValueType"/>
      </xs:simpleType>
      <xs:simpleType name="probabilityValueType">
        <xs:annotation>
          <xs:documentation xml:lang="en">
                Decimal format for coverage probability values for uncertainties.
                The value must be within the interval [0,1]. The scientific exponent 
                "e" (or "E") is not allowed.
                Based on type xs:double.
            </xs:documentation>
        </xs:annotation>
        <xs:restriction base="xs:double">
          <xs:pattern value="\+?((0(\.\d*)?)|(1(\.0*)?))|NaN"/>
        </xs:restriction>
      </xs:simpleType>
      <xs:simpleType name="probabilityValueXMLListType">
        <xs:annotation>
          <xs:documentation xml:lang="en">
                Type providing listing of coverage probability values (si:probabilityValueType) 
                with separation by blank spaces.
            </xs:documentation>
        </xs:annotation>
        <xs:list itemType="si:probabilityValueType"/>
      </xs:simpleType>
      <xs:simpleType name="significantDigitType">
        <xs:annotation>
          <xs:documentation xml:lang="en">
                Type providing information on the significat digit of si:value.
                This integer number represents the exponent of a power of 10
                which identifies the ISO 80000 rounding range of the significant
                digit.                . 
            </xs:documentation>
        </xs:annotation>
        <xs:restriction base="xs:integer"/>
      </xs:simpleType>
      <xs:simpleType name="significantDigitXMLListType">
        <xs:annotation>
          <xs:documentation xml:lang="en">
                Type for identification of significant digiti for XML list style elements. 
                The significant digit numbers are seperated by blank spaces.
            </xs:documentation>
        </xs:annotation>
        <xs:list itemType="si:significantDigitType"/>
      </xs:simpleType>
      <xs:simpleType name="dateTimeXMLListType">
        <xs:annotation>
          <xs:documentation xml:lang="en">
                Type providing listing of time values (xs:dateTime) 
                with separation by blank spaces.
            </xs:documentation>
        </xs:annotation>
        <xs:list itemType="xs:dateTime"/>
      </xs:simpleType>
      <xs:simpleType name="distributionType">
        <xs:annotation>
          <xs:documentation xml:lang="en">
                String providing a distribution (statistical distribution of measurement values).
            </xs:documentation>
        </xs:annotation>
        <xs:restriction base="xs:string"/>
      </xs:simpleType>
      <xs:simpleType name="distributionXMLListType">
        <xs:annotation>
          <xs:documentation xml:lang="en">
                Type providing listing of distributions (si:distributionType) 
                with separation by blank spaces.
            </xs:documentation>
        </xs:annotation>
        <xs:list itemType="si:distributionType"/>
      </xs:simpleType>
      <xs:simpleType name="stringXMLListType">
        <xs:annotation>
          <xs:documentation xml:lang="en">
                Type providing listing of strings (xs:string) 
                with separation by blank spaces.
            </xs:documentation>
        </xs:annotation>
        <xs:list itemType="xs:string"/>
      </xs:simpleType>
      <!-- ############## D-SI SUPPLEMENTAL XML ELEMENT DEFINITIONS #################### -->
      <xs:element name="expandedUnc" type="si:expandedUncType">
        <xs:annotation>
          <xs:documentation xml:lang="en">
                [deprectated element] Definition of the structure, that gives the necessary components for stating 
                an expanded measurement uncertainty. This element must always be used in the
                context of a real quantity, which is an application within si:real and/or
                si:globalUnivariateUnc.
            </xs:documentation>
          <xs:documentation xml:lang="en">
<![CDATA[
                The element has the following components [(m)-mandatory, (o)-optional]:
                (m) - element valueExpandedMU           (decimal value >= 0, THE EXPANDED UNCERTAINTY VALUE!)
                (m) - element coverageFactor            (decimal value >= 1) 
                (m) - element coverageProbability       (decimal value in [0,1])
                (o) - element distribution              (string)
                The unit of component uncertainty is the unit used in the context of
                si:real and/or si:globalUnivariateUnc.
                ]]>            
          </xs:documentation>
        </xs:annotation>
      </xs:element>
      <xs:element name="coverageInterval" type="si:coverageIntervalType">
        <xs:annotation>
          <xs:documentation xml:lang="en">
                [deprectated element] Definition of the structure, that gives the necessary components for stating 
                a probabilistic-symmetric coverage interval for a real uncertainty. This element 
                must always be used in the context of a real quantity.
            </xs:documentation>
          <xs:documentation xml:lang="en">
<![CDATA[
                The element has the following components [(m)-mandatory, (o)-optional]:
                (m) - element valueStandardMU           (decimal value >= 0)
                (m) - element intervalMin               (decimal value type) 
                (m) - element intervalMax               (decimal value type) 
                (m) - element coverageProbability       (decimal value in [0,1])
                (o) - element distribution              (string)
                The unit of components stdUncertainty, intervalMin and intervalMax is the unit 
                used in the context of si:real.
                ]]>            
          </xs:documentation>
        </xs:annotation>
      </xs:element>
      <!--  D-SI XML ELEMENT DEFINITIONS FOR COVARIANCE MATRIX ELEMENT   -->
      <xs:element name="covarianceMatrix" type="si:covarianceMatrixType">
        <xs:annotation>
          <xs:documentation xml:lang="en">
                Definition of a covariance matrix element that is used for
                multidimensional uncertainty statements in the D-SI format.
            </xs:documentation>
          <xs:documentation xml:lang="en">
<![CDATA[
                A covariance matrix has n column elements.
                The dimension of the covariance matrix is the amount of columns.
                Each column contains the covariance values of one column of the 
                covariance matrix.
                The order of the columns is from left to right column in the
                covariance matrix.
                ]]>            
          </xs:documentation>
        </xs:annotation>
      </xs:element>
      <xs:element name="ellipsoidalRegion" type="si:ellipsoidalRegionType">
        <xs:annotation>
          <xs:documentation xml:lang="en">
                [deprectated element] Definition of the structure, that provides a hyper-ellipsoidal coverage
                region for stating the uncertainty of multivariate quantities. It is
                used in the context of uncertainty for complex quantities and
                lists of real or complex quantities.
            </xs:documentation>
          <xs:documentation xml:lang="en">
<![CDATA[
                The element has the following components [(m)-mandatory, (o)-optional]:
                (m) - element covarianceMatrix          (sub structure covarianceMatrix)
                (m) - element coverageFactor            (decimal value >= 1) 
                (m) - element coverageProbability       (decimal value in [0,1]) 
                (o) - element distribution              (string)
                ]]>            
          </xs:documentation>
        </xs:annotation>
      </xs:element>
      <xs:element name="rectangularRegion" type="si:rectangularRegionType">
        <xs:annotation>
          <xs:documentation xml:lang="en">
                [deprectated element] Definition of the structure that provides a hyper-rectangular coverage
                region for stating the uncertainty of multivariate quantities. It is
                used in the context of uncertainty for complex quantities and
                lists of real or complex quantities.
            </xs:documentation>
          <xs:documentation xml:lang="en">
<![CDATA[
                The element has the following components [(m)-mandatory, (o)-optional]:
                (m) - element covarianceMatrix          (sub structure covarianceMatrix)
                (m) - element coverageFactor            (decimal value >= 1) 
                (m) - element coverageProbability       (decimal value in [0,1]) 
                (o) - element distribution              (string)
                ]]>            
          </xs:documentation>
        </xs:annotation>
      </xs:element>
    </xs:schema>
  </Schema>
  <Schema ID="Schema4" Namespace="http://www.w3.org/2000/09/xmldsig#">
    <schema xmlns="http://www.w3.org/2001/XMLSchema" xmlns:ds="http://www.w3.org/2000/09/xmldsig#" targetNamespace="http://www.w3.org/2000/09/xmldsig#" version="0.1" elementFormDefault="qualified">
      <!-- Basic Types Defined for Signatures -->
      <simpleType name="CryptoBinary">
        <restriction base="base64Binary">
				</restriction>
      </simpleType>
      <!-- Start Signature -->
      <element name="Signature" type="ds:SignatureType"/>
      <complexType name="SignatureType">
        <sequence>
          <element ref="ds:SignedInfo"/>
          <element ref="ds:SignatureValue"/>
          <element ref="ds:KeyInfo" minOccurs="0"/>
          <element ref="ds:Object" minOccurs="0" maxOccurs="unbounded"/>
        </sequence>
        <attribute name="Id" type="ID" use="optional"/>
      </complexType>
      <element name="SignatureValue" type="ds:SignatureValueType"/>
      <complexType name="SignatureValueType">
        <simpleContent>
          <extension base="base64Binary">
            <attribute name="Id" type="ID" use="optional"/>
          </extension>
        </simpleContent>
      </complexType>
      <!-- Start SignedInfo -->
      <element name="SignedInfo" type="ds:SignedInfoType"/>
      <complexType name="SignedInfoType">
        <sequence>
          <element ref="ds:CanonicalizationMethod"/>
          <element ref="ds:SignatureMethod"/>
          <element ref="ds:Reference" maxOccurs="unbounded"/>
        </sequence>
        <attribute name="Id" type="ID" use="optional"/>
      </complexType>
      <element name="CanonicalizationMethod" type="ds:CanonicalizationMethodType"/>
      <complexType name="CanonicalizationMethodType" mixed="true">
        <sequence>
          <any namespace="##any" minOccurs="0" maxOccurs="unbounded"/>
          <!-- (0,unbounded) elements from (1,1) namespace -->
        </sequence>
        <attribute name="Algorithm" type="anyURI" use="required"/>
      </complexType>
      <element name="SignatureMethod" type="ds:SignatureMethodType"/>
      <complexType name="SignatureMethodType" mixed="true">
        <sequence>
          <element name="HMACOutputLength" minOccurs="0" type="ds:HMACOutputLengthType"/>
          <any namespace="##other" minOccurs="0" maxOccurs="unbounded"/>
          <!-- (0,unbounded) elements from (1,1) external namespace -->
        </sequence>
        <attribute name="Algorithm" type="anyURI" use="required"/>
      </complexType>
      <!-- Start Reference -->
      <element name="Reference" type="ds:ReferenceType"/>
      <complexType name="ReferenceType">
        <sequence>
          <element ref="ds:Transforms" minOccurs="0"/>
          <element ref="ds:DigestMethod"/>
          <element ref="ds:DigestValue"/>
        </sequence>
        <attribute name="Id" type="ID" use="optional"/>
        <attribute name="URI" type="anyURI" use="optional"/>
        <attribute name="Type" type="anyURI" use="optional"/>
      </complexType>
      <element name="Transforms" type="ds:TransformsType"/>
      <complexType name="TransformsType">
        <sequence>
          <element ref="ds:Transform" maxOccurs="unbounded"/>
        </sequence>
      </complexType>
      <element name="Transform" type="ds:TransformType"/>
      <complexType name="TransformType" mixed="true">
        <choice minOccurs="0" maxOccurs="unbounded">
          <any namespace="##other" processContents="lax"/>
          <!-- (1,1) elements from (0,unbounded) namespaces -->
          <element name="XPath" type="string"/>
        </choice>
        <attribute name="Algorithm" type="anyURI" use="required"/>
      </complexType>
      <!-- End Reference -->
      <element name="DigestMethod" type="ds:DigestMethodType"/>
      <complexType name="DigestMethodType" mixed="true">
        <sequence>
          <any namespace="##other" processContents="lax" minOccurs="0" maxOccurs="unbounded"/>
        </sequence>
        <attribute name="Algorithm" type="anyURI" use="required"/>
      </complexType>
      <element name="DigestValue" type="ds:DigestValueType"/>
      <simpleType name="DigestValueType">
        <restriction base="base64Binary"/>
      </simpleType>
      <!-- End SignedInfo -->
      <!-- Start KeyInfo -->
      <element name="KeyInfo" type="ds:KeyInfoType"/>
      <complexType name="KeyInfoType" mixed="true">
        <choice maxOccurs="unbounded">
          <element ref="ds:KeyName"/>
          <element ref="ds:KeyValue"/>
          <element ref="ds:RetrievalMethod"/>
          <element ref="ds:X509Data"/>
          <element ref="ds:PGPData"/>
          <element ref="ds:SPKIData"/>
          <element ref="ds:MgmtData"/>
          <any processContents="lax" namespace="##other"/>
          <!-- (1,1) elements from (0,unbounded) namespaces -->
        </choice>
        <attribute name="Id" type="ID" use="optional"/>
      </complexType>
      <element name="KeyName" type="string"/>
      <element name="MgmtData" type="string"/>
      <element name="KeyValue" type="ds:KeyValueType"/>
      <complexType name="KeyValueType" mixed="true">
        <choice>
          <element ref="ds:DSAKeyValue"/>
          <element ref="ds:RSAKeyValue"/>
          <any namespace="##other" processContents="lax"/>
        </choice>
      </complexType>
      <element name="RetrievalMethod" type="ds:RetrievalMethodType"/>
      <complexType name="RetrievalMethodType">
        <sequence>
          <element ref="ds:Transforms" minOccurs="0"/>
        </sequence>
        <attribute name="URI" type="anyURI"/>
        <attribute name="Type" type="anyURI" use="optional"/>
      </complexType>
      <!-- Start X509Data -->
      <element name="X509Data" type="ds:X509DataType"/>
      <complexType name="X509DataType">
        <sequence maxOccurs="unbounded">
          <choice>
            <element name="X509IssuerSerial" type="ds:X509IssuerSerialType"/>
            <element name="X509SKI" type="base64Binary"/>
            <element name="X509SubjectName" type="string"/>
            <element name="X509Certificate" type="base64Binary"/>
            <element name="X509CRL" type="base64Binary"/>
            <any namespace="##other" processContents="lax"/>
          </choice>
        </sequence>
      </complexType>
      <complexType name="X509IssuerSerialType">
        <sequence>
          <element name="X509IssuerName" type="string"/>
          <element name="X509SerialNumber" type="integer"/>
        </sequence>
      </complexType>
      <!-- End X509Data -->
      <!-- Begin PGPData -->
      <element name="PGPData" type="ds:PGPDataType"/>
      <complexType name="PGPDataType">
        <choice>
          <sequence>
            <element name="PGPKeyID" type="base64Binary"/>
            <element name="PGPKeyPacket" type="base64Binary" minOccurs="0"/>
            <any namespace="##other" processContents="lax" minOccurs="0" maxOccurs="unbounded"/>
          </sequence>
          <sequence>
            <element name="PGPKeyPacket" type="base64Binary"/>
            <any namespace="##other" processContents="lax" minOccurs="0" maxOccurs="unbounded"/>
          </sequence>
        </choice>
      </complexType>
      <!-- End PGPData -->
      <!-- Begin SPKIData -->
      <element name="SPKIData" type="ds:SPKIDataType"/>
      <complexType name="SPKIDataType">
        <sequence maxOccurs="unbounded">
          <element name="SPKISexp" type="base64Binary"/>
          <any namespace="##other" processContents="lax" minOccurs="0"/>
        </sequence>
      </complexType>
      <!-- End SPKIData -->
      <!-- End KeyInfo -->
      <!-- Start Object (Manifest, SignatureProperty) -->
      <element name="Object" type="ds:ObjectType"/>
      <complexType name="ObjectType" mixed="true">
        <sequence minOccurs="0" maxOccurs="unbounded">
          <any namespace="##any" processContents="lax"/>
        </sequence>
        <attribute name="Id" type="ID" use="optional"/>
        <attribute name="MimeType" type="string" use="optional"/>
        <!-- add a grep facet -->
        <attribute name="Encoding" type="anyURI" use="optional"/>
      </complexType>
      <element name="Manifest" type="ds:ManifestType"/>
      <complexType name="ManifestType">
        <sequence>
          <element ref="ds:Reference" maxOccurs="unbounded"/>
        </sequence>
        <attribute name="Id" type="ID" use="optional"/>
      </complexType>
      <element name="SignatureProperties" type="ds:SignaturePropertiesType"/>
      <complexType name="SignaturePropertiesType">
        <sequence>
          <element ref="ds:SignatureProperty" maxOccurs="unbounded"/>
        </sequence>
        <attribute name="Id" type="ID" use="optional"/>
      </complexType>
      <element name="SignatureProperty" type="ds:SignaturePropertyType"/>
      <complexType name="SignaturePropertyType" mixed="true">
        <choice maxOccurs="unbounded">
          <any namespace="##other" processContents="lax"/>
          <!-- (1,1) elements from (1,unbounded) namespaces -->
        </choice>
        <attribute name="Target" type="anyURI" use="required"/>
        <attribute name="Id" type="ID" use="optional"/>
      </complexType>
      <!-- End Object (Manifest, SignatureProperty) -->
      <!-- Start Algorithm Parameters -->
      <simpleType name="HMACOutputLengthType">
        <restriction base="integer"/>
      </simpleType>
      <!-- Start KeyValue Element-types -->
      <element name="DSAKeyValue" type="ds:DSAKeyValueType"/>
      <complexType name="DSAKeyValueType">
        <sequence>
          <sequence minOccurs="0">
            <element name="P" type="ds:CryptoBinary"/>
            <element name="Q" type="ds:CryptoBinary"/>
          </sequence>
          <element name="G" type="ds:CryptoBinary" minOccurs="0"/>
          <element name="Y" type="ds:CryptoBinary"/>
          <element name="J" type="ds:CryptoBinary" minOccurs="0"/>
          <sequence minOccurs="0">
            <element name="Seed" type="ds:CryptoBinary"/>
            <element name="PgenCounter" type="ds:CryptoBinary"/>
          </sequence>
        </sequence>
      </complexType>
      <element name="RSAKeyValue" type="ds:RSAKeyValueType"/>
      <complexType name="RSAKeyValueType">
        <sequence>
          <element name="Modulus" type="ds:CryptoBinary"/>
          <element name="Exponent" type="ds:CryptoBinary"/>
        </sequence>
      </complexType>
      <!-- End KeyValue Element-types -->
      <!-- End Signature -->
    </schema>
  </Schema>
  <Schema ID="Schema1" SchemaRef="Schema2 Schema4" Namespace="https://ptb.de/dcc">
    <xs:schema xmlns:xs="http://www.w3.org/2001/XMLSchema" xmlns:dcc="https://ptb.de/dcc" xmlns:si="https://ptb.de/si" xmlns:ds="http://www.w3.org/2000/09/xmldsig#" xmlns="" version="3.3.0" targetNamespace="https://ptb.de/dcc" elementFormDefault="qualified">
      <xs:import namespace="https://ptb.de/si" schemaLocation="Schema2"/>
      <xs:import namespace="http://www.w3.org/2000/09/xmldsig#" schemaLocation="Schema4"/>
      <xs:annotation>
        <xs:documentation>
            DCC - Digital Calibration Certificate
            Copyright (c) 2019 - 2024 Physikalisch-Technische Bundesanstalt
            This XML Schema Definition (XSD) is free software: you can redistribute it and/or modify
            it under the terms of the GNU Lesser General Public License as published by
            the Free Software Foundation, version 3 of the License.
            This XSD is distributed in the hope that it will be useful,
            but WITHOUT ANY WARRANTY; without even the implied warranty of MERCHANTABILITY or FITNESS FOR A PARTICULAR PURPOSE.
            See the GNU Lesser General Public License for more details.
            The development of minimum requirements for a digital calibration certificate (DCC) is partially funded and
            supported by the joint research project EMPIR 17IND02 (title: SmartCom).
            This project (17IND02) has received funding from the EMPIR programme, co-financed by the participating states
            and the European Union’s Horizon 2020 research and innovation programme.
            The further development of the digital calibration certificate (DCC) is partly supported by the lighthouse
            project GEMIMEG-II (GEMIMEG 01MT20001E), funded by the German Federal Ministry for Economic Affairs and
            Climate Action (BMWK), and the project “International Standard Accident Number” (ISAN), funded by the Niedersächsisches
            Vorab initiative of the Volkswagen Foundation (VolkswagenStiftung).
            Documentation: https://ptb.de/dcc/v3.3.0/
        </xs:documentation>
      </xs:annotation>
      <xs:element name="digitalCalibrationCertificate" type="dcc:digitalCalibrationCertificateType"/>
      <xs:complexType name="digitalCalibrationCertificateType">
        <xs:annotation>
          <xs:documentation>
                The root element of the DCC contains the four rings of the DCC and an optional signature.
            </xs:documentation>
        </xs:annotation>
        <xs:sequence>
          <xs:element name="measurementResults" type="dcc:measurementResultListType"/>
        </xs:sequence>
        <xs:attribute name="schemaVersion" use="required">
          <xs:simpleType>
            <xs:restriction base="xs:string">
              <xs:pattern value="3\.3\.0"/>
            </xs:restriction>
          </xs:simpleType>
        </xs:attribute>
      </xs:complexType>
      <xs:complexType name="softwareListType">
        <xs:annotation>
          <xs:documentation>
                List of software, e.g., software used to create the DCC, software used during the calibration process, or software used in measuring equipment.
            </xs:documentation>
        </xs:annotation>
        <xs:sequence>
          <xs:element name="software" type="dcc:softwareType" maxOccurs="unbounded"/>
        </xs:sequence>
      </xs:complexType>
      <xs:complexType name="softwareType">
        <xs:annotation>
          <xs:documentation>
                Information about the software, including its name, version, type, and description.
            </xs:documentation>
        </xs:annotation>
        <xs:sequence>
          <xs:element name="name" type="dcc:textType"/>
          <xs:element name="release" type="dcc:notEmptyStringType"/>
          <!--<xs:element name="type" minOccurs="0">
               <xs:simpleType>
                   <xs:restriction base="xs:string">
                       <xs:enumeration value="application" />
                       <xs:enumeration value="bios" />
                       <xs:enumeration value="driver" />
                       <xs:enumeration value="editor" />
                       <xs:enumeration value="firmware" />
                       <xs:enumeration value="library" />
                       <xs:enumeration value="os" />
                       <xs:enumeration value="other" />
                   </xs:restriction>
               </xs:simpleType>
           </xs:element>
            <xs:element name="description" type="dcc:richContentType" minOccurs="0"/>-->
        </xs:sequence>
        <xs:attribute name="id" type="xs:ID" use="optional"/>
        <xs:attribute name="refId" type="xs:IDREFS" use="optional"/>
        <xs:attribute name="refType" type="dcc:refTypesType" use="optional"/>
      </xs:complexType>
      <xs:complexType name="measuringEquipmentListType">
        <xs:annotation>
          <xs:documentation>
                List of measuring equipment and instruments used during the calibration process.
            </xs:documentation>
        </xs:annotation>
        <xs:sequence>
          <xs:element name="name" type="dcc:textType" minOccurs="0"/>
          <xs:element name="equipmentClass" type="dcc:equipmentClassType" minOccurs="0"/>
          <!--maxOccurs="unbounded"-->
          <xs:element name="description" type="dcc:richContentType" minOccurs="0"/>
          <!--<xs:element name="owner" type="dcc:contactType" minOccurs="0"/>-->
          <xs:element name="identifications" type="dcc:identificationListType" minOccurs="0"/>
          <xs:element name="measuringEquipment" type="dcc:measuringEquipmentType" maxOccurs="unbounded"/>
          <xs:element name="measuringEquipmentOnce" type="dcc:measuringEquipmentType"/>
          <!--<xs:element name="measuringEquipmentONE" type="dcc:measuringEquipmentType"/>
                <xs:element name="measuringEquipmentTWO" type="dcc:measuringEquipmentType"/>
                <xs:element name="measuringEquipmentTHREE" type="dcc:measuringEquipmentType"/>
                <xs:element name="measuringEquipmentFOUR" type="dcc:measuringEquipmentType"/>-->
          <!--  #############################                                                                                        Add more if it is necessary                                                                 ###############################################  -->
          <!--    <xs:element name="measuringEquipmentFIVE" type="dcc:measuringEquipmentType"/>
            <xs:element name="measuringEquipmentSIX" type="dcc:measuringEquipmentType"/>
            <xs:element name="measuringEquipmentSEVEN" type="dcc:measuringEquipmentType"/>
            <xs:element name="measuringEquipmentEIGHT" type="dcc:measuringEquipmentType"/>-->
        </xs:sequence>
      </xs:complexType>
      <xs:complexType name="measuringEquipmentType">
        <xs:annotation>
          <xs:documentation>
                Information about a measuring equipment or instrument used during the calibration process.
            </xs:documentation>
        </xs:annotation>
        <xs:sequence>
          <xs:element name="name" type="dcc:textType"/>
          <xs:element name="equipmentClass" type="dcc:equipmentClassType" minOccurs="0" maxOccurs="unbounded"/>
          <!--" Revisar Quitar Unbounded-->
          <xs:element name="description" type="dcc:richContentType" minOccurs="0"/>
          <xs:element name="certificate" type="dcc:hashType" minOccurs="0"/>
          <xs:element name="manufacturer" type="dcc:contactNotStrictType" minOccurs="0"/>
          <xs:element name="model" type="dcc:notEmptyStringType" minOccurs="0"/>
          <xs:element name="identifications" type="dcc:identificationListType" minOccurs="0"/>
          <xs:element name="measuringEquipmentQuantities" type="dcc:measuringEquipmentQuantityListType" minOccurs="0"/>
          <!--<xs:element name="installedSoftware" type="dcc:softwareListType" minOccurs="0" />-->
        </xs:sequence>
        <xs:attribute name="id" type="xs:ID" use="optional"/>
        <xs:attribute name="refId" type="xs:IDREFS" use="optional"/>
        <xs:attribute name="refType" type="dcc:refTypesType" use="optional"/>
      </xs:complexType>
      <xs:complexType name="measuringEquipmentQuantityListType">
        <xs:annotation>
          <xs:documentation>
                List of numerical values that belong to the measuring equipment and are relevant for the calibration process.
            </xs:documentation>
        </xs:annotation>
        <xs:sequence>
          <xs:element name="measuringEquipmentQuantity" type="dcc:primitiveQuantityType" maxOccurs="unbounded"/>
          <xs:element name="measuringEquipmentQuantityOnce" type="dcc:primitiveQuantityType"/>
        </xs:sequence>
      </xs:complexType>
      <xs:complexType name="primitiveQuantityType">
        <xs:annotation>
          <xs:documentation>
                Numerical value that belongs to item quantities, measuring equipment quantities, or used method quantities and is relevant for the calibration process.
            </xs:documentation>
        </xs:annotation>
        <xs:sequence>
          <xs:element name="name" type="dcc:textType" minOccurs="0"/>
          <xs:element name="description" type="dcc:richContentType" minOccurs="0"/>
          <!--  #############################                                                                                      Select or use only one element when mapping                                                                 ###############################################  -->
          <!--<xs:choice>-->
          <xs:element ref="si:real"/>
          <xs:element ref="si:hybrid"/>
          <!--</xs:choice>-->
        </xs:sequence>
        <xs:attribute name="id" type="xs:ID" use="optional"/>
        <xs:attribute name="refId" type="xs:IDREFS" use="optional"/>
        <xs:attribute name="refType" type="dcc:refTypesType" use="optional"/>
      </xs:complexType>
      <xs:simpleType name="notEmptyStringType">
        <xs:restriction base="xs:string">
          <xs:pattern value="[^\s]+(\s+[^\s]+)*"/>
        </xs:restriction>
      </xs:simpleType>
      <xs:complexType name="equipmentClassType">
        <xs:annotation>
          <xs:documentation>
                Necessary information to uniquely identify (a system of) calibration items or measuring equipment using a defined classification scheme or standard.
            </xs:documentation>
        </xs:annotation>
        <xs:sequence>
          <xs:element name="reference" type="dcc:notEmptyStringType"/>
          <xs:element name="classID" type="dcc:notEmptyStringType"/>
          <xs:element name="link" type="xs:anyURI" minOccurs="0"/>
        </xs:sequence>
        <xs:attribute name="id" type="xs:ID" use="optional"/>
        <xs:attribute name="refId" type="xs:IDREFS" use="optional"/>
        <xs:attribute name="refType" type="dcc:refTypesType" use="optional"/>
      </xs:complexType>
      <xs:complexType name="identificationListType">
        <xs:annotation>
          <xs:documentation>
                List of additional identifications (e.g., order number, reference number, serial number, etc.) for an item, measuring equipment, or a DCC.
            </xs:documentation>
        </xs:annotation>
        <xs:sequence>
          <xs:element name="identification" type="dcc:identificationType" maxOccurs="unbounded"/>
          <!--<xs:element name="identificationOnce" type="dcc:identificationType"/>-->
          <!--            <xs:element name="identificationSerie" type="dcc:identificationType"/>
            <xs:element name="identificationCustumer" type="dcc:identificationType"/>-->
          <!--  #############################                                                                                        Add more if it is necessary                                                                 ###############################################  -->
          <!-- <xs:element name="identificationSerie" type="dcc:identificationType"/>
              <xs:element name="identificationCustumer" type="dcc:identificationType"/>
            <xs:element name="identificationCalibrationLab" type="dcc:identificationType"/>-->
        </xs:sequence>
      </xs:complexType>
      <xs:complexType name="identificationType">
        <xs:annotation>
          <xs:documentation>
                Additional identification (e.g., order number, reference number, serial number, etc.) for an item, measuring equipment, or a DCC.
            </xs:documentation>
        </xs:annotation>
        <xs:sequence>
          <xs:element name="issuer">
            <xs:simpleType>
              <xs:restriction base="xs:string">
                <xs:enumeration value="manufacturer"/>
                <xs:enumeration value="calibrationLaboratory"/>
                <xs:enumeration value="customer"/>
                <xs:enumeration value="owner"/>
                <xs:enumeration value="other"/>
              </xs:restriction>
            </xs:simpleType>
          </xs:element>
          <xs:element name="value" type="dcc:notEmptyStringType"/>
          <xs:element name="name" type="dcc:textType" minOccurs="0"/>
        </xs:sequence>
        <xs:attribute name="id" type="xs:ID" use="optional"/>
        <xs:attribute name="refId" type="xs:IDREFS" use="optional"/>
        <xs:attribute name="refType" type="dcc:refTypesType" use="optional"/>
      </xs:complexType>
      <xs:complexType name="measurementResultListType">
        <xs:annotation>
          <xs:documentation>
                List of measurement results and metadata common to all measurement results.
            </xs:documentation>
        </xs:annotation>
        <xs:sequence>
          <!--            <xs:element name="usedMethods" type="dcc:usedMethodListType" minOccurs="0"/>
            <xs:element name="usedSoftware" type="dcc:softwareListType" minOccurs="0"/>
            <xs:element name="measuringEquipments" type="dcc:measuringEquipmentListType" minOccurs="0"/>
            <xs:element name="influenceConditions" type="dcc:influenceConditionListType" minOccurs="0"/>
            <xs:element name="measurementMetaData" type="dcc:measurementMetaDataListType" minOccurs="0"/>-->
          <xs:element name="measurementResult" type="dcc:measurementResultType"/>
          <!--maxOccurs="unbounded"-->
        </xs:sequence>
      </xs:complexType>
      <xs:complexType name="measurementResultType">
        <xs:annotation>
          <xs:documentation>
                Container for used methods, used software, influence conditions, measuring equipment used for the calibration, metadata and calibration results.
            </xs:documentation>
        </xs:annotation>
        <xs:sequence>
          <xs:element name="name" type="dcc:textType"/>
          <xs:element name="usedMethods" type="dcc:usedMethodListType" minOccurs="0"/>
          <xs:element name="usedSoftware" type="dcc:softwareListType" minOccurs="0"/>
          <xs:element name="measuringEquipments" type="dcc:measuringEquipmentListType" minOccurs="0"/>
          <xs:element name="influenceConditions" type="dcc:influenceConditionListType" minOccurs="0"/>
          <xs:element name="results" type="dcc:resultListType"/>
        </xs:sequence>
        <xs:attribute name="id" type="xs:ID" use="optional"/>
        <xs:attribute name="refId" type="xs:IDREFS" use="optional"/>
        <xs:attribute name="refType" type="dcc:refTypesType" use="optional"/>
      </xs:complexType>
      <xs:complexType name="usedMethodListType">
        <xs:annotation>
          <xs:documentation>
                List of methods used in the calibration process.
            </xs:documentation>
        </xs:annotation>
        <xs:sequence>
          <!--<xs:element name="usedMethod" type="dcc:usedMethodType" maxOccurs="unbounded"/>-->
          <xs:element name="usedMethod" type="dcc:usedMethodType"/>
          <xs:element name="usedMethodDevelop" type="dcc:usedMethodType"/>
          <xs:element name="usedMethodGUM" type="dcc:usedMethodType"/>
          <!--  #############################                                                                                        Add more if it is necessary                                                                 ###############################################  -->
          <!--    <xs:element name="usedMethodANOTHER" type="dcc:usedMethodType"/>
            <xs:element name="usedMethodOTHER" type="dcc:usedMethodType"/>-->
        </xs:sequence>
      </xs:complexType>
      <xs:complexType name="usedMethodType">
        <xs:annotation>
          <xs:documentation>
                Method used in the calibration process.
            </xs:documentation>
        </xs:annotation>
        <xs:sequence>
          <xs:element name="name" type="dcc:textType"/>
          <xs:element name="description" type="dcc:richContentType" minOccurs="0"/>
          <xs:element name="norm" type="dcc:notEmptyStringType" minOccurs="0" maxOccurs="unbounded"/>
          <xs:element name="normOnce" type="dcc:notEmptyStringType" minOccurs="0"/>
        </xs:sequence>
        <xs:attribute name="id" type="xs:ID" use="optional"/>
        <xs:attribute name="refId" type="xs:IDREFS" use="optional"/>
        <xs:attribute name="refType" type="dcc:refTypesType" use="optional"/>
      </xs:complexType>
      <xs:complexType name="influenceConditionListType">
        <xs:annotation>
          <xs:documentation>
                List of measurement conditions (e.g., environmental) influencing the calibration result.
            </xs:documentation>
        </xs:annotation>
        <xs:sequence>
          <!--     <xs:element name="influenceCondition" type="dcc:conditionType" maxOccurs="unbounded"/>-->
          <xs:element name="influenceCondition" type="dcc:conditionType"/>
          <xs:element name="influenceConditionOnce" type="dcc:conditionType"/>
          <xs:element name="influenceConditionOther" type="dcc:conditionType"/>
          <xs:element name="influenceConditionAnother" type="dcc:conditionType"/>
          <!--    <xs:element name="influenceConditionMassDensity" type="dcc:conditionType"/>
            <xs:element name="influenceConditionTemperature" type="dcc:conditionType"/>
            <xs:element name="influenceConditionAirDensity" type="dcc:conditionType"/>
            <xs:element name="influenceConditionRelativeHumidity" type="dcc:conditionType"/>
            <xs:element name="influenceConditionMass_airPressure" type="dcc:conditionType"/>
            <xs:element name="influenceConditionMassVolume" type="dcc:conditionType"/>
        -->
          <!--  #############################                                                                                        Add more if it is necessary                                                                 ###############################################  -->
          <!--<xs:element name="influenceConditionONE" type="dcc:conditionType"/>-->
          <!--<xs:element name="influenceConditionTWO" type="dcc:conditionType"/>-->
          <!--<xs:element name="influenceConditionTHREE" type="dcc:conditionType"/>-->
          <!--<xs:element name="influenceConditionFOUR" type="dcc:conditionType"/>-->
        </xs:sequence>
      </xs:complexType>
      <xs:complexType name="conditionType">
        <xs:annotation>
          <xs:documentation>
                Measurement  condition (e.g., environmental) influencing the calibration result.
            </xs:documentation>
        </xs:annotation>
        <xs:sequence>
          <xs:element name="name" type="dcc:textType"/>
          <xs:element name="certificate" type="dcc:hashType" minOccurs="0"/>
          <xs:element name="data" type="dcc:dataType"/>
        </xs:sequence>
        <xs:attribute name="id" type="xs:ID" use="optional"/>
        <xs:attribute name="refId" type="xs:IDREFS" use="optional"/>
        <xs:attribute name="refType" type="dcc:refTypesType" use="optional"/>
      </xs:complexType>
      <xs:complexType name="resultListType">
        <xs:annotation>
          <xs:documentation>
                List of actual calibration results.
            </xs:documentation>
        </xs:annotation>
        <xs:sequence>
          <!--<xs:element name="result" type="dcc:resultType" maxOccurs="unbounded"/>-->
          <xs:element name="result" type="dcc:resultType"/>
          <xs:element name="resultOnce" type="dcc:resultType"/>
          <!--  #############################                                                                                        Add more if it is necessary                                                                 ###############################################  -->
          <!--
              <xs:element name="resultSectionOne" type="dcc:resultType"/>
              <xs:element name="resultSectionTWO" type="dcc:resultType"/>
              <xs:element name="resultSectionTHREE" type="dcc:resultType"/>
              -->
        </xs:sequence>
      </xs:complexType>
      <xs:complexType name="resultType">
        <xs:annotation>
          <xs:documentation>
                Actual calibration result.
            </xs:documentation>
        </xs:annotation>
        <xs:sequence>
          <xs:element name="name" type="dcc:textType"/>
          <!--           <xs:element name="description" type="dcc:richContentType" minOccurs="0"/>-->
          <xs:element name="data" type="dcc:dataType"/>
        </xs:sequence>
        <xs:attribute name="id" type="xs:ID" use="optional"/>
        <xs:attribute name="refId" type="xs:IDREFS" use="optional"/>
        <xs:attribute name="refType" type="dcc:refTypesType" use="optional"/>
      </xs:complexType>
      <xs:complexType name="dataType">
        <xs:annotation>
          <xs:documentation>
                Container for various data, e.g., text, formulas, and quantities.
            </xs:documentation>
        </xs:annotation>
        <xs:sequence>
          <!--  #############################                                                                                       Select or use only one element when mapping                                                                ###############################################  -->
          <!--<xs:choice maxOccurs="unbounded">-->
          <xs:element name="formula" type="dcc:formulaType" maxOccurs="unbounded"/>
          <xs:element name="formulaOnce" type="dcc:formulaType"/>
          <xs:element name="quantity" type="dcc:quantityType" maxOccurs="unbounded"/>
          <!-- Revisar si quitar-unbounded-->
          <xs:element name="quantityOnce" type="dcc:quantityType"/>
          <xs:element name="quantityOther" type="dcc:quantityType"/>
          <xs:element name="quantityAnother" type="dcc:quantityType"/>
          <!-- Revisar si quitar-->
          <!--</xs:choice>-->
        </xs:sequence>
        <xs:attribute name="id" type="xs:ID" use="optional"/>
        <xs:attribute name="refId" type="xs:IDREFS" use="optional"/>
        <xs:attribute name="refType" type="dcc:refTypesType" use="optional"/>
      </xs:complexType>
      <xs:complexType name="quantityType">
        <xs:annotation>
          <xs:documentation>
                Single measurement quantity containing a name, description, a D-SI element (numerical value), and text.
                Additionally, e.g., used methods, used software, influence conditions, and metadata that are related to this quantity can be added.
            </xs:documentation>
        </xs:annotation>
        <xs:sequence>
          <xs:element name="name" type="dcc:textType" minOccurs="0"/>
          <xs:element name="description" type="dcc:richContentType" minOccurs="0"/>
          <!--  #############################                                                                                       Select or use only one element when mapping                                                                ###############################################  -->
          <!--<xs:choice>-->
          <xs:element ref="si:real"/>
          <xs:element ref="si:hybrid"/>
          <!--        <xs:element ref="si:list"/>-->
          <!--</xs:choice>-->
          <xs:element name="measurementMetaData" type="dcc:measurementMetaDataListType" minOccurs="0"/>
        </xs:sequence>
        <xs:attribute name="id" type="xs:ID" use="optional"/>
        <xs:attribute name="refId" type="xs:IDREFS" use="optional"/>
        <xs:attribute name="refType" type="dcc:refTypesType" use="optional"/>
      </xs:complexType>
      <xs:complexType name="listType">
        <xs:annotation>
          <xs:documentation>
                List for (primarily) structuring (lists of) quantities and related data, e.g., influence conditions, used methods, etc.
                A recursive usage of the list allows the creation of matrix and tensor structures, as well as structures of higher dimensions.
            </xs:documentation>
        </xs:annotation>
        <xs:sequence>
          <xs:element name="name" type="dcc:textType" minOccurs="0"/>
          <xs:element name="description" type="dcc:richContentType" minOccurs="0"/>
          <!--            <xs:choice>
                <xs:element name="dateTime" type="xs:dateTime" minOccurs="0"/>
                <xs:element name="dateTimeXMLList" type="dcc:dateTimeXMLListType" minOccurs="0"/>
            </xs:choice>
            <xs:choice maxOccurs="unbounded">-->
          <xs:element name="quantity" type="dcc:quantityType" maxOccurs="unbounded"/>
          <!-- Revisar si quitar-unbounded-->
          <xs:element name="quantityOnce" type="dcc:quantityType"/>
          <xs:element name="quantityOther" type="dcc:quantityType"/>
          <xs:element name="quantityAnother" type="dcc:quantityType"/>
          <!-- Revisar si quitar-->
          <!--            </xs:choice>-->
          <!--            <xs:element name="usedMethods" type="dcc:usedMethodListType" minOccurs="0"/>
            <xs:element name="usedSoftware" type="dcc:softwareListType" minOccurs="0"/>
            <xs:element name="measuringEquipments" type="dcc:measuringEquipmentListType" minOccurs="0"/>
            <xs:element name="influenceConditions" type="dcc:influenceConditionListType" minOccurs="0"/>
            <xs:element name="measurementMetaData" type="dcc:measurementMetaDataListType" minOccurs="0"/>-->
        </xs:sequence>
        <xs:attribute name="id" type="xs:ID" use="optional"/>
        <xs:attribute name="refId" type="xs:IDREFS" use="optional"/>
        <xs:attribute name="refType" type="dcc:refTypesType" use="optional"/>
      </xs:complexType>
      <xs:complexType name="measurementMetaDataListType">
        <xs:annotation>
          <xs:documentation>
                List of additional information (metadata) related to a measurement result or (lists of) quantities.
            </xs:documentation>
        </xs:annotation>
        <xs:sequence>
          <!--            <xs:element name="metaData" type="dcc:statementMetaDataType" maxOccurs="unbounded"/>-->
          <xs:element name="metaData" type="dcc:statementMetaDataType"/>
          <!--            <xs:element name="metaDataOnce" type="dcc:statementMetaDataType"/>-->
          <!--  #############################                                                                                        Add more if it is necessary                                                                 ###############################################  -->
          <!--         <xs:element name="metaDataOther" type="dcc:statementMetaDataType"/>-->
        </xs:sequence>
      </xs:complexType>
      <xs:complexType name="statementMetaDataType">
        <xs:annotation>
          <xs:documentation>
                a) Additional information (metadata) related to a measurement result or (lists of) quantities, or
                b) statement information regarding the DCC or calibration process, e.g., the statement of conformity.
            </xs:documentation>
        </xs:annotation>
        <xs:sequence>
          <!--      <xs:element name="name" type="dcc:textType" minOccurs="0"/>
            <xs:element name="description" type="dcc:richContentType" minOccurs="0"/>-->
          <xs:element name="convention" type="dcc:notEmptyStringType" minOccurs="0"/>
          <xs:element name="norm" type="dcc:notEmptyStringType" minOccurs="0"/>
          <!--maxOccurs="unbounded"/>-->
          <!--    <xs:element name="reference" type="dcc:notEmptyStringType" minOccurs="0" maxOccurs="unbounded"/>-->
          <xs:element name="declaration" type="dcc:richContentType" minOccurs="0"/>
          <!--            <xs:choice minOccurs="0">-->
          <xs:sequence minOccurs="0">
            <xs:element name="valid" type="xs:boolean"/>
            <xs:element name="validXMLList" type="dcc:booleanXMLListType"/>
          </xs:sequence>
          <!--           </xs:choice>-->
          <xs:element name="respAuthority" type="dcc:contactType" minOccurs="0"/>
          <xs:sequence minOccurs="0">
            <!--<xs:choice minOccurs="0">-->
            <xs:element name="conformity" type="dcc:stringConformityStatementStatusType"/>
            <!--        <xs:element name="conformityXMLList" type="dcc:stringConformityStatementStatusXMLListType"/>-->
            <!--</xs:choice>-->
          </xs:sequence>
          <xs:element name="data" type="dcc:dataType" minOccurs="0"/>
          <!--            <xs:element name="location" type="dcc:locationType" minOccurs="0"/>-->
        </xs:sequence>
        <xs:attribute name="id" type="xs:ID" use="optional"/>
        <xs:attribute name="refId" type="xs:IDREFS" use="optional"/>
        <xs:attribute name="refType" type="dcc:refTypesType" use="optional"/>
      </xs:complexType>
      <xs:simpleType name="booleanXMLListType">
        <xs:list itemType="xs:boolean"/>
      </xs:simpleType>
      <!--
    <xs:simpleType name="stringConformityStatementStatusXMLListType">
        <xs:list itemType="dcc:stringConformityStatementStatusType"/>
    </xs:simpleType>
-->
      <xs:simpleType name="stringConformityStatementStatusType">
        <xs:restriction base="xs:string">
          <xs:enumeration value="pass"/>
          <xs:enumeration value="fail"/>
          <xs:enumeration value="conditionalPass"/>
          <xs:enumeration value="conditionalFail"/>
          <xs:enumeration value="noPass"/>
          <xs:enumeration value="noFail"/>
        </xs:restriction>
      </xs:simpleType>
      <xs:simpleType name="stringISO3166Type">
        <xs:annotation>
          <xs:documentation>
                Country code as defined in ISO 3166-1, restricted to two uppercase letters.
            </xs:documentation>
        </xs:annotation>
        <xs:restriction base="xs:string">
          <xs:pattern value="[A-Z]{2}"/>
        </xs:restriction>
      </xs:simpleType>
      <xs:simpleType name="stringISO639Type">
        <xs:annotation>
          <xs:documentation>
                Language code as defined in ISO 639, restricted to two lowercase letters.
            </xs:documentation>
        </xs:annotation>
        <xs:restriction base="xs:string">
          <xs:pattern value="[a-z]{2}"/>
        </xs:restriction>
      </xs:simpleType>
      <xs:complexType name="stringWithLangType">
        <xs:annotation>
          <xs:documentation>
                String element with an additional language attribute.
            </xs:documentation>
        </xs:annotation>
        <xs:simpleContent>
          <xs:extension base="xs:string">
            <xs:attribute name="lang" type="dcc:stringISO639Type" use="optional"/>
            <xs:attribute name="id" type="xs:ID" use="optional"/>
            <xs:attribute name="refId" type="xs:IDREFS" use="optional"/>
            <xs:attribute name="refType" type="dcc:refTypesType" use="optional"/>
          </xs:extension>
        </xs:simpleContent>
      </xs:complexType>
      <xs:complexType name="locationType">
        <xs:choice maxOccurs="unbounded">
          <xs:element name="city" type="dcc:notEmptyStringType"/>
          <xs:element name="countryCode" type="dcc:stringISO3166Type"/>
          <xs:element name="postCode" type="dcc:notEmptyStringType"/>
          <xs:element name="postOfficeBox" type="dcc:notEmptyStringType"/>
          <xs:element name="state" type="dcc:notEmptyStringType"/>
          <xs:element name="street" type="dcc:notEmptyStringType"/>
          <xs:element name="streetNo" type="dcc:notEmptyStringType"/>
          <xs:element name="further" type="dcc:richContentType"/>
        </xs:choice>
      </xs:complexType>
      <xs:complexType name="contactType">
        <xs:sequence>
          <xs:element name="name" type="dcc:textType"/>
          <xs:element name="eMail" type="dcc:notEmptyStringType" minOccurs="0"/>
          <xs:element name="phone" type="dcc:notEmptyStringType" minOccurs="0"/>
          <xs:element name="fax" type="dcc:notEmptyStringType" minOccurs="0"/>
          <xs:element name="link" type="xs:anyURI" minOccurs="0"/>
          <xs:element name="location" type="dcc:locationType"/>
          <xs:element name="descriptionData" type="dcc:byteDataType" minOccurs="0"/>
        </xs:sequence>
        <xs:attribute name="id" type="xs:ID" use="optional"/>
        <xs:attribute name="refId" type="xs:IDREFS" use="optional"/>
        <xs:attribute name="refType" type="dcc:refTypesType" use="optional"/>
      </xs:complexType>
      <xs:complexType name="contactNotStrictType">
        <xs:annotation>
          <xs:documentation>
                Same as contact type but with an optional location.
            </xs:documentation>
        </xs:annotation>
        <xs:sequence>
          <xs:element name="name" type="dcc:textType"/>
          <xs:element name="eMail" type="dcc:notEmptyStringType" minOccurs="0"/>
          <xs:element name="phone" type="dcc:notEmptyStringType" minOccurs="0"/>
          <xs:element name="fax" type="dcc:notEmptyStringType" minOccurs="0"/>
          <xs:element name="link" type="xs:anyURI" minOccurs="0"/>
          <xs:element name="location" type="dcc:locationType" minOccurs="0"/>
          <xs:element name="descriptionData" type="dcc:byteDataType" minOccurs="0"/>
        </xs:sequence>
        <xs:attribute name="id" type="xs:ID" use="optional"/>
        <xs:attribute name="refId" type="xs:IDREFS" use="optional"/>
        <xs:attribute name="refType" type="dcc:refTypesType" use="optional"/>
      </xs:complexType>
      <xs:complexType name="hashType">
        <xs:sequence>
          <xs:element name="referral" type="dcc:textType"/>
          <xs:element name="referralID" type="dcc:notEmptyStringType"/>
          <xs:element name="procedure" type="dcc:notEmptyStringType"/>
          <xs:element name="value" type="dcc:notEmptyStringType"/>
          <xs:element name="description" type="dcc:richContentType" minOccurs="0"/>
          <xs:element name="inValidityRange" type="xs:boolean" minOccurs="0"/>
          <xs:element name="traceable" type="xs:boolean" minOccurs="0"/>
          <xs:element name="linkedReport" type="dcc:hashType" minOccurs="0"/>
        </xs:sequence>
        <xs:attribute name="id" type="xs:ID" use="optional"/>
        <xs:attribute name="refId" type="xs:IDREFS" use="optional"/>
        <xs:attribute name="refType" type="dcc:refTypesType" use="optional"/>
      </xs:complexType>
      <xs:complexType name="textType">
        <xs:annotation>
          <xs:documentation>
                Arbitrary text (string) that can be provided in different languages (identified by optional language attributes).
            </xs:documentation>
        </xs:annotation>
        <xs:sequence>
          <xs:element name="content" type="dcc:stringWithLangType" maxOccurs="unbounded"/>
          <xs:element name="contentOnce" type="dcc:stringWithLangType"/>
        </xs:sequence>
        <xs:attribute name="id" type="xs:ID" use="optional"/>
        <xs:attribute name="refId" type="xs:IDREFS" use="optional"/>
      </xs:complexType>
      <xs:complexType name="richContentType">
        <xs:annotation>
          <xs:documentation>
                Container to combine text, formulas and files.
            </xs:documentation>
        </xs:annotation>
        <xs:sequence>
          <xs:element name="name" type="dcc:textType" minOccurs="0"/>
          <xs:sequence>
            <xs:element name="content" type="dcc:stringWithLangType" minOccurs="0" maxOccurs="unbounded"/>
            <xs:element name="contentOnce" type="dcc:stringWithLangType" minOccurs="0"/>
            <xs:element name="file" type="dcc:byteDataType" minOccurs="0" maxOccurs="unbounded"/>
            <xs:element name="formula" type="dcc:formulaType" minOccurs="0" maxOccurs="unbounded"/>
            <xs:element name="formulaOnce" type="dcc:formulaType" minOccurs="0"/>
          </xs:sequence>
        </xs:sequence>
        <xs:attribute name="id" type="xs:ID" use="optional"/>
        <xs:attribute name="refId" type="xs:IDREFS" use="optional"/>
        <xs:attribute name="refType" type="dcc:refTypesType" use="optional"/>
      </xs:complexType>
      <xs:complexType name="byteDataType">
        <xs:annotation>
          <xs:documentation>
                Data block used for adding binary-encoded files.
            </xs:documentation>
        </xs:annotation>
        <xs:sequence>
          <xs:element name="name" type="dcc:textType" minOccurs="0"/>
          <xs:element name="description" type="dcc:richContentType" minOccurs="0"/>
          <xs:element name="fileName" type="dcc:notEmptyStringType"/>
          <xs:element name="mimeType" type="dcc:notEmptyStringType"/>
          <xs:element name="dataBase64" type="xs:base64Binary"/>
        </xs:sequence>
        <xs:attribute name="id" type="xs:ID" use="optional"/>
        <xs:attribute name="refId" type="xs:IDREFS" use="optional"/>
        <xs:attribute name="refType" type="dcc:refTypesType" use="optional"/>
      </xs:complexType>
      <xs:complexType name="formulaType">
        <xs:annotation>
          <xs:documentation>
                Data block used for adding formula and equation content.
            </xs:documentation>
        </xs:annotation>
        <xs:choice>
          <xs:element name="latex" type="xs:string"/>
          <xs:element name="mathml" type="dcc:xmlType"/>
        </xs:choice>
        <xs:attribute name="id" type="xs:ID" use="optional"/>
        <xs:attribute name="refId" type="xs:IDREFS" use="optional"/>
        <xs:attribute name="refType" type="dcc:refTypesType" use="optional"/>
      </xs:complexType>
      <xs:complexType name="xmlType">
        <xs:annotation>
          <xs:documentation>
                Data block used for adding user- and application-specific XML content.
            </xs:documentation>
        </xs:annotation>
        <xs:sequence>
          <xs:any namespace="##other" minOccurs="0"/>
        </xs:sequence>
        <xs:attribute name="id" type="xs:ID" use="optional"/>
        <xs:attribute name="refId" type="xs:IDREFS" use="optional"/>
        <xs:attribute name="refType" type="dcc:refTypesType" use="optional"/>
      </xs:complexType>
      <xs:simpleType name="refTypesType">
        <xs:annotation>
          <xs:documentation>
                List of one or more refTypes as attributes for an XML element.
            </xs:documentation>
        </xs:annotation>
        <xs:restriction>
          <xs:simpleType>
            <xs:list itemType="xs:string"/>
          </xs:simpleType>
          <xs:minLength value="1"/>
        </xs:restriction>
      </xs:simpleType>
    </xs:schema>
  </Schema>
  <Map ID="4" Name="digitalCalibrationCertificate_Map" RootElement="digitalCalibrationCertificate" SchemaID="Schema1" ShowImportExportValidationErrors="false" AutoFit="true" Append="false" PreserveSortAFLayout="true" PreserveFormat="true"/>
</MapInfo>
</file>

<file path=xl/_rels/workbook.xml.rels><?xml version="1.0" encoding="UTF-8" standalone="yes"?>
<Relationships xmlns="http://schemas.openxmlformats.org/package/2006/relationships"><Relationship Id="rId8" Type="http://schemas.openxmlformats.org/officeDocument/2006/relationships/styles" Target="styles.xml"/><Relationship Id="rId13" Type="http://schemas.openxmlformats.org/officeDocument/2006/relationships/customXml" Target="../customXml/item2.xml"/><Relationship Id="rId3" Type="http://schemas.openxmlformats.org/officeDocument/2006/relationships/worksheet" Target="worksheets/sheet3.xml"/><Relationship Id="rId7" Type="http://schemas.openxmlformats.org/officeDocument/2006/relationships/theme" Target="theme/theme1.xml"/><Relationship Id="rId12" Type="http://schemas.openxmlformats.org/officeDocument/2006/relationships/customXml" Target="../customXml/item1.xml"/><Relationship Id="rId2" Type="http://schemas.openxmlformats.org/officeDocument/2006/relationships/worksheet" Target="worksheets/sheet2.xml"/><Relationship Id="rId16" Type="http://schemas.openxmlformats.org/officeDocument/2006/relationships/xmlMaps" Target="xmlMap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calcChain" Target="calcChain.xml"/><Relationship Id="rId5" Type="http://schemas.openxmlformats.org/officeDocument/2006/relationships/worksheet" Target="worksheets/sheet5.xml"/><Relationship Id="rId15" Type="http://schemas.microsoft.com/office/2006/relationships/vbaProject" Target="vbaProject.bin"/><Relationship Id="rId10" Type="http://schemas.openxmlformats.org/officeDocument/2006/relationships/sheetMetadata" Target="metadata.xml"/><Relationship Id="rId4" Type="http://schemas.openxmlformats.org/officeDocument/2006/relationships/worksheet" Target="worksheets/sheet4.xml"/><Relationship Id="rId9" Type="http://schemas.openxmlformats.org/officeDocument/2006/relationships/sharedStrings" Target="sharedStrings.xml"/><Relationship Id="rId14" Type="http://schemas.openxmlformats.org/officeDocument/2006/relationships/customXml" Target="../customXml/item3.xml"/></Relationships>
</file>

<file path=xl/activeX/_rels/activeX1.xml.rels><?xml version="1.0" encoding="UTF-8" standalone="yes"?>
<Relationships xmlns="http://schemas.openxmlformats.org/package/2006/relationships"><Relationship Id="rId1" Type="http://schemas.microsoft.com/office/2006/relationships/activeXControlBinary" Target="activeX1.bin"/></Relationships>
</file>

<file path=xl/activeX/activeX1.xml><?xml version="1.0" encoding="utf-8"?>
<ax:ocx xmlns:ax="http://schemas.microsoft.com/office/2006/activeX" xmlns:r="http://schemas.openxmlformats.org/officeDocument/2006/relationships" ax:classid="{8BD21D30-EC42-11CE-9E0D-00AA006002F3}" ax:persistence="persistStreamInit" r:id="rId1"/>
</file>

<file path=xl/drawings/_rels/drawing1.xml.rels><?xml version="1.0" encoding="UTF-8" standalone="yes"?>
<Relationships xmlns="http://schemas.openxmlformats.org/package/2006/relationships"><Relationship Id="rId3" Type="http://schemas.openxmlformats.org/officeDocument/2006/relationships/hyperlink" Target="#influenceConditions!A1"/><Relationship Id="rId2" Type="http://schemas.openxmlformats.org/officeDocument/2006/relationships/hyperlink" Target="#measuringEquipments!A1"/><Relationship Id="rId1" Type="http://schemas.openxmlformats.org/officeDocument/2006/relationships/hyperlink" Target="#UsedMethods!A1"/><Relationship Id="rId4" Type="http://schemas.openxmlformats.org/officeDocument/2006/relationships/hyperlink" Target="#results!A1"/></Relationships>
</file>

<file path=xl/drawings/_rels/drawing2.xml.rels><?xml version="1.0" encoding="UTF-8" standalone="yes"?>
<Relationships xmlns="http://schemas.openxmlformats.org/package/2006/relationships"><Relationship Id="rId3" Type="http://schemas.openxmlformats.org/officeDocument/2006/relationships/hyperlink" Target="#influenceConditions!A1"/><Relationship Id="rId2" Type="http://schemas.openxmlformats.org/officeDocument/2006/relationships/hyperlink" Target="#measuringEquipments!A1"/><Relationship Id="rId1" Type="http://schemas.openxmlformats.org/officeDocument/2006/relationships/hyperlink" Target="#UsedMethods!A1"/><Relationship Id="rId4" Type="http://schemas.openxmlformats.org/officeDocument/2006/relationships/hyperlink" Target="#results!A1"/></Relationships>
</file>

<file path=xl/drawings/_rels/drawing3.xml.rels><?xml version="1.0" encoding="UTF-8" standalone="yes"?>
<Relationships xmlns="http://schemas.openxmlformats.org/package/2006/relationships"><Relationship Id="rId3" Type="http://schemas.openxmlformats.org/officeDocument/2006/relationships/hyperlink" Target="#influenceConditions!A1"/><Relationship Id="rId2" Type="http://schemas.openxmlformats.org/officeDocument/2006/relationships/hyperlink" Target="#measuringEquipments!A1"/><Relationship Id="rId1" Type="http://schemas.openxmlformats.org/officeDocument/2006/relationships/hyperlink" Target="#UsedMethods!A1"/><Relationship Id="rId4" Type="http://schemas.openxmlformats.org/officeDocument/2006/relationships/hyperlink" Target="#results!A1"/></Relationships>
</file>

<file path=xl/drawings/_rels/drawing4.xml.rels><?xml version="1.0" encoding="UTF-8" standalone="yes"?>
<Relationships xmlns="http://schemas.openxmlformats.org/package/2006/relationships"><Relationship Id="rId3" Type="http://schemas.openxmlformats.org/officeDocument/2006/relationships/hyperlink" Target="#influenceConditions!A1"/><Relationship Id="rId2" Type="http://schemas.openxmlformats.org/officeDocument/2006/relationships/hyperlink" Target="#measuringEquipments!A1"/><Relationship Id="rId1" Type="http://schemas.openxmlformats.org/officeDocument/2006/relationships/hyperlink" Target="#UsedMethods!A1"/><Relationship Id="rId4" Type="http://schemas.openxmlformats.org/officeDocument/2006/relationships/hyperlink" Target="#results!A1"/></Relationships>
</file>

<file path=xl/drawings/_rels/vmlDrawing1.vml.rels><?xml version="1.0" encoding="UTF-8" standalone="yes"?>
<Relationships xmlns="http://schemas.openxmlformats.org/package/2006/relationships"><Relationship Id="rId1" Type="http://schemas.openxmlformats.org/officeDocument/2006/relationships/image" Target="../media/image1.emf"/></Relationships>
</file>

<file path=xl/drawings/drawing1.xml><?xml version="1.0" encoding="utf-8"?>
<xdr:wsDr xmlns:xdr="http://schemas.openxmlformats.org/drawingml/2006/spreadsheetDrawing" xmlns:a="http://schemas.openxmlformats.org/drawingml/2006/main">
  <xdr:twoCellAnchor editAs="oneCell">
    <xdr:from>
      <xdr:col>1</xdr:col>
      <xdr:colOff>0</xdr:colOff>
      <xdr:row>8</xdr:row>
      <xdr:rowOff>99059</xdr:rowOff>
    </xdr:from>
    <xdr:to>
      <xdr:col>3</xdr:col>
      <xdr:colOff>207645</xdr:colOff>
      <xdr:row>10</xdr:row>
      <xdr:rowOff>18539</xdr:rowOff>
    </xdr:to>
    <xdr:sp macro="" textlink="">
      <xdr:nvSpPr>
        <xdr:cNvPr id="2" name="Round Same Side Corner Rectangle 1">
          <a:hlinkClick xmlns:r="http://schemas.openxmlformats.org/officeDocument/2006/relationships" r:id="rId1"/>
          <a:extLst>
            <a:ext uri="{FF2B5EF4-FFF2-40B4-BE49-F238E27FC236}">
              <a16:creationId xmlns:a16="http://schemas.microsoft.com/office/drawing/2014/main" id="{00000000-0008-0000-0000-000002000000}"/>
            </a:ext>
          </a:extLst>
        </xdr:cNvPr>
        <xdr:cNvSpPr>
          <a:spLocks noChangeAspect="1"/>
        </xdr:cNvSpPr>
      </xdr:nvSpPr>
      <xdr:spPr>
        <a:xfrm>
          <a:off x="180975" y="1375409"/>
          <a:ext cx="1257300" cy="285240"/>
        </a:xfrm>
        <a:prstGeom prst="round2SameRect">
          <a:avLst/>
        </a:prstGeom>
        <a:solidFill>
          <a:schemeClr val="accent1">
            <a:lumMod val="50000"/>
          </a:schemeClr>
        </a:solidFill>
        <a:ln>
          <a:no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S" sz="1100" b="1"/>
            <a:t>&lt;usedMethods/&gt;</a:t>
          </a:r>
        </a:p>
      </xdr:txBody>
    </xdr:sp>
    <xdr:clientData/>
  </xdr:twoCellAnchor>
  <xdr:oneCellAnchor>
    <xdr:from>
      <xdr:col>3</xdr:col>
      <xdr:colOff>239395</xdr:colOff>
      <xdr:row>8</xdr:row>
      <xdr:rowOff>99059</xdr:rowOff>
    </xdr:from>
    <xdr:ext cx="1713600" cy="284400"/>
    <xdr:sp macro="" textlink="">
      <xdr:nvSpPr>
        <xdr:cNvPr id="3" name="Round Same Side Corner Rectangle 2">
          <a:hlinkClick xmlns:r="http://schemas.openxmlformats.org/officeDocument/2006/relationships" r:id="rId2"/>
          <a:extLst>
            <a:ext uri="{FF2B5EF4-FFF2-40B4-BE49-F238E27FC236}">
              <a16:creationId xmlns:a16="http://schemas.microsoft.com/office/drawing/2014/main" id="{00000000-0008-0000-0000-000003000000}"/>
            </a:ext>
          </a:extLst>
        </xdr:cNvPr>
        <xdr:cNvSpPr/>
      </xdr:nvSpPr>
      <xdr:spPr>
        <a:xfrm>
          <a:off x="1458595" y="1556384"/>
          <a:ext cx="1713600" cy="284400"/>
        </a:xfrm>
        <a:prstGeom prst="round2SameRect">
          <a:avLst/>
        </a:prstGeom>
        <a:solidFill>
          <a:srgbClr val="A27F19"/>
        </a:solidFill>
        <a:ln>
          <a:noFill/>
        </a:ln>
        <a:effectLst>
          <a:innerShdw blurRad="63500" dist="50800" dir="5400000">
            <a:prstClr val="black">
              <a:alpha val="50000"/>
            </a:prstClr>
          </a:inn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r>
            <a:rPr lang="es-ES" sz="1100" b="1">
              <a:solidFill>
                <a:schemeClr val="lt1"/>
              </a:solidFill>
              <a:effectLst/>
              <a:latin typeface="+mn-lt"/>
              <a:ea typeface="+mn-ea"/>
              <a:cs typeface="+mn-cs"/>
            </a:rPr>
            <a:t>&lt;measuringEquipments/&gt;</a:t>
          </a:r>
          <a:endParaRPr lang="es-MX">
            <a:effectLst/>
          </a:endParaRPr>
        </a:p>
        <a:p>
          <a:pPr algn="l"/>
          <a:endParaRPr lang="es-ES" sz="1100" b="1"/>
        </a:p>
      </xdr:txBody>
    </xdr:sp>
    <xdr:clientData/>
  </xdr:oneCellAnchor>
  <xdr:oneCellAnchor>
    <xdr:from>
      <xdr:col>3</xdr:col>
      <xdr:colOff>1963420</xdr:colOff>
      <xdr:row>8</xdr:row>
      <xdr:rowOff>99059</xdr:rowOff>
    </xdr:from>
    <xdr:ext cx="1569600" cy="284400"/>
    <xdr:sp macro="" textlink="">
      <xdr:nvSpPr>
        <xdr:cNvPr id="4" name="Round Same Side Corner Rectangle 3">
          <a:hlinkClick xmlns:r="http://schemas.openxmlformats.org/officeDocument/2006/relationships" r:id="rId3"/>
          <a:extLst>
            <a:ext uri="{FF2B5EF4-FFF2-40B4-BE49-F238E27FC236}">
              <a16:creationId xmlns:a16="http://schemas.microsoft.com/office/drawing/2014/main" id="{00000000-0008-0000-0000-000004000000}"/>
            </a:ext>
          </a:extLst>
        </xdr:cNvPr>
        <xdr:cNvSpPr/>
      </xdr:nvSpPr>
      <xdr:spPr>
        <a:xfrm>
          <a:off x="3182620" y="1556384"/>
          <a:ext cx="1569600" cy="284400"/>
        </a:xfrm>
        <a:prstGeom prst="round2SameRect">
          <a:avLst/>
        </a:prstGeom>
        <a:solidFill>
          <a:srgbClr val="00B050"/>
        </a:solidFill>
        <a:ln>
          <a:noFill/>
        </a:ln>
        <a:effectLst>
          <a:innerShdw blurRad="63500" dist="50800" dir="5400000">
            <a:prstClr val="black">
              <a:alpha val="50000"/>
            </a:prstClr>
          </a:inn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r>
            <a:rPr lang="es-ES" sz="1100" b="1">
              <a:solidFill>
                <a:schemeClr val="lt1"/>
              </a:solidFill>
              <a:effectLst/>
              <a:latin typeface="+mn-lt"/>
              <a:ea typeface="+mn-ea"/>
              <a:cs typeface="+mn-cs"/>
            </a:rPr>
            <a:t>&lt;influenceConditions/&gt;</a:t>
          </a:r>
          <a:endParaRPr lang="es-MX">
            <a:effectLst/>
          </a:endParaRPr>
        </a:p>
        <a:p>
          <a:pPr algn="l"/>
          <a:endParaRPr lang="es-ES" sz="1100" b="1"/>
        </a:p>
      </xdr:txBody>
    </xdr:sp>
    <xdr:clientData/>
  </xdr:oneCellAnchor>
  <xdr:oneCellAnchor>
    <xdr:from>
      <xdr:col>4</xdr:col>
      <xdr:colOff>78105</xdr:colOff>
      <xdr:row>8</xdr:row>
      <xdr:rowOff>95249</xdr:rowOff>
    </xdr:from>
    <xdr:ext cx="1260210" cy="284400"/>
    <xdr:sp macro="" textlink="">
      <xdr:nvSpPr>
        <xdr:cNvPr id="5" name="Round Same Side Corner Rectangle 4">
          <a:hlinkClick xmlns:r="http://schemas.openxmlformats.org/officeDocument/2006/relationships" r:id="rId4"/>
          <a:extLst>
            <a:ext uri="{FF2B5EF4-FFF2-40B4-BE49-F238E27FC236}">
              <a16:creationId xmlns:a16="http://schemas.microsoft.com/office/drawing/2014/main" id="{00000000-0008-0000-0000-000005000000}"/>
            </a:ext>
          </a:extLst>
        </xdr:cNvPr>
        <xdr:cNvSpPr/>
      </xdr:nvSpPr>
      <xdr:spPr>
        <a:xfrm>
          <a:off x="4773930" y="1552574"/>
          <a:ext cx="1260210" cy="284400"/>
        </a:xfrm>
        <a:prstGeom prst="round2SameRect">
          <a:avLst/>
        </a:prstGeom>
        <a:solidFill>
          <a:srgbClr val="C00000"/>
        </a:solidFill>
        <a:ln>
          <a:noFill/>
        </a:ln>
        <a:effectLst>
          <a:innerShdw blurRad="63500" dist="50800" dir="5400000">
            <a:prstClr val="black">
              <a:alpha val="50000"/>
            </a:prstClr>
          </a:inn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r>
            <a:rPr lang="es-ES" sz="1100" b="1">
              <a:solidFill>
                <a:schemeClr val="lt1"/>
              </a:solidFill>
              <a:effectLst/>
              <a:latin typeface="+mn-lt"/>
              <a:ea typeface="+mn-ea"/>
              <a:cs typeface="+mn-cs"/>
            </a:rPr>
            <a:t>&lt;results/&gt;</a:t>
          </a:r>
          <a:endParaRPr lang="es-MX">
            <a:effectLst/>
          </a:endParaRPr>
        </a:p>
        <a:p>
          <a:pPr algn="l"/>
          <a:endParaRPr lang="es-ES" sz="1100" b="1"/>
        </a:p>
      </xdr:txBody>
    </xdr:sp>
    <xdr:clientData/>
  </xdr:oneCellAnchor>
  <xdr:absoluteAnchor>
    <xdr:pos x="55245" y="57151"/>
    <xdr:ext cx="18537555" cy="10525124"/>
    <xdr:sp macro="" textlink="">
      <xdr:nvSpPr>
        <xdr:cNvPr id="6" name="Rectángulo: esquinas redondeadas 16">
          <a:extLst>
            <a:ext uri="{FF2B5EF4-FFF2-40B4-BE49-F238E27FC236}">
              <a16:creationId xmlns:a16="http://schemas.microsoft.com/office/drawing/2014/main" id="{00000000-0008-0000-0000-000006000000}"/>
            </a:ext>
          </a:extLst>
        </xdr:cNvPr>
        <xdr:cNvSpPr/>
      </xdr:nvSpPr>
      <xdr:spPr>
        <a:xfrm>
          <a:off x="55245" y="57151"/>
          <a:ext cx="18537555" cy="10525124"/>
        </a:xfrm>
        <a:prstGeom prst="roundRect">
          <a:avLst>
            <a:gd name="adj" fmla="val 1240"/>
          </a:avLst>
        </a:prstGeom>
        <a:noFill/>
        <a:ln w="25400">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horz" wrap="square" tIns="90000" rtlCol="0" anchor="t"/>
        <a:lstStyle/>
        <a:p>
          <a:pPr algn="l"/>
          <a:r>
            <a:rPr lang="es-MX" sz="1600" b="1">
              <a:solidFill>
                <a:schemeClr val="tx1"/>
              </a:solidFill>
            </a:rPr>
            <a:t>&lt;measurementResult/&gt;</a:t>
          </a:r>
        </a:p>
      </xdr:txBody>
    </xdr:sp>
    <xdr:clientData/>
  </xdr:absoluteAnchor>
  <xdr:absoluteAnchor>
    <xdr:pos x="245743" y="2101850"/>
    <xdr:ext cx="7450457" cy="7732800"/>
    <xdr:sp macro="" textlink="">
      <xdr:nvSpPr>
        <xdr:cNvPr id="7" name="Rectángulo: esquinas redondeadas 16">
          <a:extLst>
            <a:ext uri="{FF2B5EF4-FFF2-40B4-BE49-F238E27FC236}">
              <a16:creationId xmlns:a16="http://schemas.microsoft.com/office/drawing/2014/main" id="{00000000-0008-0000-0000-000007000000}"/>
            </a:ext>
          </a:extLst>
        </xdr:cNvPr>
        <xdr:cNvSpPr/>
      </xdr:nvSpPr>
      <xdr:spPr>
        <a:xfrm>
          <a:off x="245743" y="2101850"/>
          <a:ext cx="7450457" cy="7732800"/>
        </a:xfrm>
        <a:prstGeom prst="roundRect">
          <a:avLst>
            <a:gd name="adj" fmla="val 3624"/>
          </a:avLst>
        </a:prstGeom>
        <a:noFill/>
        <a:ln w="19050">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MX" sz="1600" b="1">
              <a:solidFill>
                <a:schemeClr val="tx1"/>
              </a:solidFill>
            </a:rPr>
            <a:t>&lt;usedMethod/&gt;</a:t>
          </a:r>
        </a:p>
      </xdr:txBody>
    </xdr:sp>
    <xdr:clientData/>
  </xdr:absoluteAnchor>
  <xdr:absoluteAnchor>
    <xdr:pos x="7789543" y="2092325"/>
    <xdr:ext cx="8221982" cy="7732800"/>
    <xdr:sp macro="" textlink="">
      <xdr:nvSpPr>
        <xdr:cNvPr id="8" name="Rectángulo: esquinas redondeadas 16">
          <a:extLst>
            <a:ext uri="{FF2B5EF4-FFF2-40B4-BE49-F238E27FC236}">
              <a16:creationId xmlns:a16="http://schemas.microsoft.com/office/drawing/2014/main" id="{E18D820E-694C-432E-A7E1-98DE5098BA2A}"/>
            </a:ext>
          </a:extLst>
        </xdr:cNvPr>
        <xdr:cNvSpPr/>
      </xdr:nvSpPr>
      <xdr:spPr>
        <a:xfrm>
          <a:off x="7789543" y="2092325"/>
          <a:ext cx="8221982" cy="7732800"/>
        </a:xfrm>
        <a:prstGeom prst="roundRect">
          <a:avLst>
            <a:gd name="adj" fmla="val 3624"/>
          </a:avLst>
        </a:prstGeom>
        <a:noFill/>
        <a:ln w="19050">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MX" sz="1600" b="1">
              <a:solidFill>
                <a:schemeClr val="tx1"/>
              </a:solidFill>
            </a:rPr>
            <a:t>&lt;usedMethod/&gt;</a:t>
          </a:r>
        </a:p>
      </xdr:txBody>
    </xdr:sp>
    <xdr:clientData/>
  </xdr:absoluteAnchor>
</xdr:wsDr>
</file>

<file path=xl/drawings/drawing2.xml><?xml version="1.0" encoding="utf-8"?>
<xdr:wsDr xmlns:xdr="http://schemas.openxmlformats.org/drawingml/2006/spreadsheetDrawing" xmlns:a="http://schemas.openxmlformats.org/drawingml/2006/main">
  <xdr:twoCellAnchor editAs="absolute">
    <xdr:from>
      <xdr:col>0</xdr:col>
      <xdr:colOff>175259</xdr:colOff>
      <xdr:row>7</xdr:row>
      <xdr:rowOff>91440</xdr:rowOff>
    </xdr:from>
    <xdr:to>
      <xdr:col>2</xdr:col>
      <xdr:colOff>894449</xdr:colOff>
      <xdr:row>9</xdr:row>
      <xdr:rowOff>19605</xdr:rowOff>
    </xdr:to>
    <xdr:sp macro="" textlink="">
      <xdr:nvSpPr>
        <xdr:cNvPr id="2" name="Round Same Side Corner Rectangle 1">
          <a:hlinkClick xmlns:r="http://schemas.openxmlformats.org/officeDocument/2006/relationships" r:id="rId1"/>
          <a:extLst>
            <a:ext uri="{FF2B5EF4-FFF2-40B4-BE49-F238E27FC236}">
              <a16:creationId xmlns:a16="http://schemas.microsoft.com/office/drawing/2014/main" id="{00000000-0008-0000-0100-000002000000}"/>
            </a:ext>
          </a:extLst>
        </xdr:cNvPr>
        <xdr:cNvSpPr>
          <a:spLocks noChangeAspect="1"/>
        </xdr:cNvSpPr>
      </xdr:nvSpPr>
      <xdr:spPr>
        <a:xfrm>
          <a:off x="180974" y="1367790"/>
          <a:ext cx="1256400" cy="290115"/>
        </a:xfrm>
        <a:prstGeom prst="round2SameRect">
          <a:avLst/>
        </a:prstGeom>
        <a:solidFill>
          <a:srgbClr val="203764"/>
        </a:solidFill>
        <a:ln>
          <a:noFill/>
        </a:ln>
        <a:effectLst>
          <a:innerShdw blurRad="63500" dist="50800" dir="5400000">
            <a:prstClr val="black">
              <a:alpha val="50000"/>
            </a:prstClr>
          </a:inn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r>
            <a:rPr lang="es-ES" sz="1100" b="1">
              <a:solidFill>
                <a:schemeClr val="lt1"/>
              </a:solidFill>
              <a:effectLst/>
              <a:latin typeface="+mn-lt"/>
              <a:ea typeface="+mn-ea"/>
              <a:cs typeface="+mn-cs"/>
            </a:rPr>
            <a:t>&lt;usedMethods/&gt;</a:t>
          </a:r>
          <a:endParaRPr lang="es-MX">
            <a:effectLst/>
          </a:endParaRPr>
        </a:p>
        <a:p>
          <a:pPr algn="l"/>
          <a:endParaRPr lang="es-ES" sz="1100" b="1"/>
        </a:p>
      </xdr:txBody>
    </xdr:sp>
    <xdr:clientData/>
  </xdr:twoCellAnchor>
  <xdr:twoCellAnchor editAs="oneCell">
    <xdr:from>
      <xdr:col>2</xdr:col>
      <xdr:colOff>935355</xdr:colOff>
      <xdr:row>7</xdr:row>
      <xdr:rowOff>91440</xdr:rowOff>
    </xdr:from>
    <xdr:to>
      <xdr:col>2</xdr:col>
      <xdr:colOff>2650860</xdr:colOff>
      <xdr:row>9</xdr:row>
      <xdr:rowOff>19605</xdr:rowOff>
    </xdr:to>
    <xdr:sp macro="" textlink="">
      <xdr:nvSpPr>
        <xdr:cNvPr id="3" name="Round Same Side Corner Rectangle 2">
          <a:hlinkClick xmlns:r="http://schemas.openxmlformats.org/officeDocument/2006/relationships" r:id="rId2"/>
          <a:extLst>
            <a:ext uri="{FF2B5EF4-FFF2-40B4-BE49-F238E27FC236}">
              <a16:creationId xmlns:a16="http://schemas.microsoft.com/office/drawing/2014/main" id="{00000000-0008-0000-0100-000003000000}"/>
            </a:ext>
          </a:extLst>
        </xdr:cNvPr>
        <xdr:cNvSpPr/>
      </xdr:nvSpPr>
      <xdr:spPr>
        <a:xfrm>
          <a:off x="1478280" y="1367790"/>
          <a:ext cx="1715505" cy="290115"/>
        </a:xfrm>
        <a:prstGeom prst="round2SameRect">
          <a:avLst/>
        </a:prstGeom>
        <a:solidFill>
          <a:srgbClr val="A27F19"/>
        </a:solid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S" sz="1100" b="1"/>
            <a:t>&lt;measuringEquipments/&gt;</a:t>
          </a:r>
        </a:p>
      </xdr:txBody>
    </xdr:sp>
    <xdr:clientData/>
  </xdr:twoCellAnchor>
  <xdr:twoCellAnchor editAs="oneCell">
    <xdr:from>
      <xdr:col>2</xdr:col>
      <xdr:colOff>2678428</xdr:colOff>
      <xdr:row>7</xdr:row>
      <xdr:rowOff>95250</xdr:rowOff>
    </xdr:from>
    <xdr:to>
      <xdr:col>3</xdr:col>
      <xdr:colOff>780718</xdr:colOff>
      <xdr:row>9</xdr:row>
      <xdr:rowOff>15795</xdr:rowOff>
    </xdr:to>
    <xdr:sp macro="" textlink="">
      <xdr:nvSpPr>
        <xdr:cNvPr id="4" name="Round Same Side Corner Rectangle 3">
          <a:hlinkClick xmlns:r="http://schemas.openxmlformats.org/officeDocument/2006/relationships" r:id="rId3"/>
          <a:extLst>
            <a:ext uri="{FF2B5EF4-FFF2-40B4-BE49-F238E27FC236}">
              <a16:creationId xmlns:a16="http://schemas.microsoft.com/office/drawing/2014/main" id="{00000000-0008-0000-0100-000004000000}"/>
            </a:ext>
          </a:extLst>
        </xdr:cNvPr>
        <xdr:cNvSpPr/>
      </xdr:nvSpPr>
      <xdr:spPr>
        <a:xfrm>
          <a:off x="3221353" y="1371600"/>
          <a:ext cx="1590345" cy="282495"/>
        </a:xfrm>
        <a:prstGeom prst="round2SameRect">
          <a:avLst/>
        </a:prstGeom>
        <a:solidFill>
          <a:srgbClr val="00B050"/>
        </a:solidFill>
        <a:ln>
          <a:noFill/>
        </a:ln>
        <a:effectLst>
          <a:innerShdw blurRad="63500" dist="50800" dir="5400000">
            <a:prstClr val="black">
              <a:alpha val="50000"/>
            </a:prstClr>
          </a:inn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S" sz="1100" b="1"/>
            <a:t>&lt;influenceConditions/&gt;</a:t>
          </a:r>
        </a:p>
      </xdr:txBody>
    </xdr:sp>
    <xdr:clientData/>
  </xdr:twoCellAnchor>
  <xdr:twoCellAnchor editAs="oneCell">
    <xdr:from>
      <xdr:col>3</xdr:col>
      <xdr:colOff>817244</xdr:colOff>
      <xdr:row>7</xdr:row>
      <xdr:rowOff>95250</xdr:rowOff>
    </xdr:from>
    <xdr:to>
      <xdr:col>5</xdr:col>
      <xdr:colOff>304323</xdr:colOff>
      <xdr:row>9</xdr:row>
      <xdr:rowOff>15795</xdr:rowOff>
    </xdr:to>
    <xdr:sp macro="" textlink="">
      <xdr:nvSpPr>
        <xdr:cNvPr id="5" name="Round Same Side Corner Rectangle 4">
          <a:hlinkClick xmlns:r="http://schemas.openxmlformats.org/officeDocument/2006/relationships" r:id="rId4"/>
          <a:extLst>
            <a:ext uri="{FF2B5EF4-FFF2-40B4-BE49-F238E27FC236}">
              <a16:creationId xmlns:a16="http://schemas.microsoft.com/office/drawing/2014/main" id="{00000000-0008-0000-0100-000005000000}"/>
            </a:ext>
          </a:extLst>
        </xdr:cNvPr>
        <xdr:cNvSpPr/>
      </xdr:nvSpPr>
      <xdr:spPr>
        <a:xfrm>
          <a:off x="4836794" y="1371600"/>
          <a:ext cx="1176814" cy="282495"/>
        </a:xfrm>
        <a:prstGeom prst="round2SameRect">
          <a:avLst/>
        </a:prstGeom>
        <a:solidFill>
          <a:srgbClr val="C00000"/>
        </a:solidFill>
        <a:ln>
          <a:noFill/>
        </a:ln>
        <a:effectLst>
          <a:innerShdw blurRad="63500" dist="50800" dir="5400000">
            <a:prstClr val="black">
              <a:alpha val="50000"/>
            </a:prstClr>
          </a:inn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r>
            <a:rPr lang="es-ES" sz="1100" b="1">
              <a:solidFill>
                <a:schemeClr val="lt1"/>
              </a:solidFill>
              <a:effectLst/>
              <a:latin typeface="+mn-lt"/>
              <a:ea typeface="+mn-ea"/>
              <a:cs typeface="+mn-cs"/>
            </a:rPr>
            <a:t>&lt;results/&gt;</a:t>
          </a:r>
          <a:endParaRPr lang="es-MX">
            <a:effectLst/>
          </a:endParaRPr>
        </a:p>
      </xdr:txBody>
    </xdr:sp>
    <xdr:clientData/>
  </xdr:twoCellAnchor>
  <xdr:twoCellAnchor>
    <xdr:from>
      <xdr:col>1</xdr:col>
      <xdr:colOff>3809</xdr:colOff>
      <xdr:row>19</xdr:row>
      <xdr:rowOff>55244</xdr:rowOff>
    </xdr:from>
    <xdr:to>
      <xdr:col>19</xdr:col>
      <xdr:colOff>375164</xdr:colOff>
      <xdr:row>42</xdr:row>
      <xdr:rowOff>75074</xdr:rowOff>
    </xdr:to>
    <xdr:sp macro="" textlink="">
      <xdr:nvSpPr>
        <xdr:cNvPr id="6" name="Rectángulo: esquinas redondeadas 16">
          <a:extLst>
            <a:ext uri="{FF2B5EF4-FFF2-40B4-BE49-F238E27FC236}">
              <a16:creationId xmlns:a16="http://schemas.microsoft.com/office/drawing/2014/main" id="{00000000-0008-0000-0100-000006000000}"/>
            </a:ext>
          </a:extLst>
        </xdr:cNvPr>
        <xdr:cNvSpPr/>
      </xdr:nvSpPr>
      <xdr:spPr>
        <a:xfrm>
          <a:off x="184784" y="4065269"/>
          <a:ext cx="18649830" cy="4182255"/>
        </a:xfrm>
        <a:prstGeom prst="roundRect">
          <a:avLst>
            <a:gd name="adj" fmla="val 13482"/>
          </a:avLst>
        </a:prstGeom>
        <a:noFill/>
        <a:ln w="19050">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MX" sz="1600" b="1">
              <a:solidFill>
                <a:schemeClr val="tx1"/>
              </a:solidFill>
            </a:rPr>
            <a:t>&lt;measuringEquipment/&gt;</a:t>
          </a:r>
        </a:p>
      </xdr:txBody>
    </xdr:sp>
    <xdr:clientData/>
  </xdr:twoCellAnchor>
  <xdr:twoCellAnchor>
    <xdr:from>
      <xdr:col>8</xdr:col>
      <xdr:colOff>645796</xdr:colOff>
      <xdr:row>22</xdr:row>
      <xdr:rowOff>36196</xdr:rowOff>
    </xdr:from>
    <xdr:to>
      <xdr:col>18</xdr:col>
      <xdr:colOff>887731</xdr:colOff>
      <xdr:row>31</xdr:row>
      <xdr:rowOff>129540</xdr:rowOff>
    </xdr:to>
    <xdr:sp macro="" textlink="">
      <xdr:nvSpPr>
        <xdr:cNvPr id="8" name="Rectángulo: esquinas redondeadas 16">
          <a:extLst>
            <a:ext uri="{FF2B5EF4-FFF2-40B4-BE49-F238E27FC236}">
              <a16:creationId xmlns:a16="http://schemas.microsoft.com/office/drawing/2014/main" id="{00000000-0008-0000-0100-000008000000}"/>
            </a:ext>
          </a:extLst>
        </xdr:cNvPr>
        <xdr:cNvSpPr/>
      </xdr:nvSpPr>
      <xdr:spPr>
        <a:xfrm>
          <a:off x="8694421" y="4589146"/>
          <a:ext cx="9738360" cy="1722119"/>
        </a:xfrm>
        <a:prstGeom prst="roundRect">
          <a:avLst>
            <a:gd name="adj" fmla="val 9140"/>
          </a:avLst>
        </a:prstGeom>
        <a:noFill/>
        <a:ln w="19050">
          <a:solidFill>
            <a:schemeClr val="tx1">
              <a:lumMod val="50000"/>
              <a:lumOff val="50000"/>
            </a:schemeClr>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r>
            <a:rPr lang="es-MX" sz="1600" b="1">
              <a:solidFill>
                <a:schemeClr val="tx1"/>
              </a:solidFill>
              <a:latin typeface="+mn-lt"/>
              <a:ea typeface="+mn-ea"/>
              <a:cs typeface="+mn-cs"/>
            </a:rPr>
            <a:t>&lt;measuringEquipmentQuantity/&gt;</a:t>
          </a:r>
        </a:p>
      </xdr:txBody>
    </xdr:sp>
    <xdr:clientData/>
  </xdr:twoCellAnchor>
  <xdr:twoCellAnchor>
    <xdr:from>
      <xdr:col>1</xdr:col>
      <xdr:colOff>3809</xdr:colOff>
      <xdr:row>43</xdr:row>
      <xdr:rowOff>59055</xdr:rowOff>
    </xdr:from>
    <xdr:to>
      <xdr:col>19</xdr:col>
      <xdr:colOff>369449</xdr:colOff>
      <xdr:row>66</xdr:row>
      <xdr:rowOff>135255</xdr:rowOff>
    </xdr:to>
    <xdr:sp macro="" textlink="">
      <xdr:nvSpPr>
        <xdr:cNvPr id="9" name="Rectángulo: esquinas redondeadas 16">
          <a:extLst>
            <a:ext uri="{FF2B5EF4-FFF2-40B4-BE49-F238E27FC236}">
              <a16:creationId xmlns:a16="http://schemas.microsoft.com/office/drawing/2014/main" id="{00000000-0008-0000-0100-000009000000}"/>
            </a:ext>
          </a:extLst>
        </xdr:cNvPr>
        <xdr:cNvSpPr/>
      </xdr:nvSpPr>
      <xdr:spPr>
        <a:xfrm>
          <a:off x="184784" y="8412480"/>
          <a:ext cx="18644115" cy="4238625"/>
        </a:xfrm>
        <a:prstGeom prst="roundRect">
          <a:avLst>
            <a:gd name="adj" fmla="val 13482"/>
          </a:avLst>
        </a:prstGeom>
        <a:noFill/>
        <a:ln w="19050">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MX" sz="1600" b="1">
              <a:solidFill>
                <a:schemeClr val="tx1"/>
              </a:solidFill>
            </a:rPr>
            <a:t>&lt;measuringEquipment/&gt;</a:t>
          </a:r>
        </a:p>
      </xdr:txBody>
    </xdr:sp>
    <xdr:clientData/>
  </xdr:twoCellAnchor>
  <xdr:twoCellAnchor>
    <xdr:from>
      <xdr:col>1</xdr:col>
      <xdr:colOff>7890</xdr:colOff>
      <xdr:row>67</xdr:row>
      <xdr:rowOff>26670</xdr:rowOff>
    </xdr:from>
    <xdr:to>
      <xdr:col>19</xdr:col>
      <xdr:colOff>369448</xdr:colOff>
      <xdr:row>90</xdr:row>
      <xdr:rowOff>104775</xdr:rowOff>
    </xdr:to>
    <xdr:sp macro="" textlink="">
      <xdr:nvSpPr>
        <xdr:cNvPr id="10" name="Rectángulo: esquinas redondeadas 16">
          <a:extLst>
            <a:ext uri="{FF2B5EF4-FFF2-40B4-BE49-F238E27FC236}">
              <a16:creationId xmlns:a16="http://schemas.microsoft.com/office/drawing/2014/main" id="{00000000-0008-0000-0100-00000A000000}"/>
            </a:ext>
          </a:extLst>
        </xdr:cNvPr>
        <xdr:cNvSpPr/>
      </xdr:nvSpPr>
      <xdr:spPr>
        <a:xfrm>
          <a:off x="188865" y="12723495"/>
          <a:ext cx="16211158" cy="4250055"/>
        </a:xfrm>
        <a:prstGeom prst="roundRect">
          <a:avLst>
            <a:gd name="adj" fmla="val 13482"/>
          </a:avLst>
        </a:prstGeom>
        <a:noFill/>
        <a:ln w="19050">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MX" sz="1600" b="1">
              <a:solidFill>
                <a:schemeClr val="tx1"/>
              </a:solidFill>
            </a:rPr>
            <a:t>&lt;measuringEquipment/&gt;</a:t>
          </a:r>
        </a:p>
      </xdr:txBody>
    </xdr:sp>
    <xdr:clientData/>
  </xdr:twoCellAnchor>
  <xdr:twoCellAnchor>
    <xdr:from>
      <xdr:col>0</xdr:col>
      <xdr:colOff>179068</xdr:colOff>
      <xdr:row>91</xdr:row>
      <xdr:rowOff>28575</xdr:rowOff>
    </xdr:from>
    <xdr:to>
      <xdr:col>19</xdr:col>
      <xdr:colOff>369448</xdr:colOff>
      <xdr:row>113</xdr:row>
      <xdr:rowOff>103650</xdr:rowOff>
    </xdr:to>
    <xdr:sp macro="" textlink="">
      <xdr:nvSpPr>
        <xdr:cNvPr id="11" name="Rectángulo: esquinas redondeadas 10">
          <a:extLst>
            <a:ext uri="{FF2B5EF4-FFF2-40B4-BE49-F238E27FC236}">
              <a16:creationId xmlns:a16="http://schemas.microsoft.com/office/drawing/2014/main" id="{00000000-0008-0000-0100-00000B000000}"/>
            </a:ext>
          </a:extLst>
        </xdr:cNvPr>
        <xdr:cNvSpPr/>
      </xdr:nvSpPr>
      <xdr:spPr>
        <a:xfrm>
          <a:off x="179068" y="17078325"/>
          <a:ext cx="16220955" cy="4066050"/>
        </a:xfrm>
        <a:prstGeom prst="roundRect">
          <a:avLst>
            <a:gd name="adj" fmla="val 13482"/>
          </a:avLst>
        </a:prstGeom>
        <a:noFill/>
        <a:ln w="19050">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MX" sz="1600" b="1">
              <a:solidFill>
                <a:schemeClr val="tx1"/>
              </a:solidFill>
            </a:rPr>
            <a:t>&lt;measuringEquipment/&gt;</a:t>
          </a:r>
        </a:p>
      </xdr:txBody>
    </xdr:sp>
    <xdr:clientData/>
  </xdr:twoCellAnchor>
  <xdr:twoCellAnchor>
    <xdr:from>
      <xdr:col>0</xdr:col>
      <xdr:colOff>180973</xdr:colOff>
      <xdr:row>114</xdr:row>
      <xdr:rowOff>28574</xdr:rowOff>
    </xdr:from>
    <xdr:to>
      <xdr:col>19</xdr:col>
      <xdr:colOff>371353</xdr:colOff>
      <xdr:row>137</xdr:row>
      <xdr:rowOff>95249</xdr:rowOff>
    </xdr:to>
    <xdr:sp macro="" textlink="">
      <xdr:nvSpPr>
        <xdr:cNvPr id="12" name="Rectángulo: esquinas redondeadas 11">
          <a:extLst>
            <a:ext uri="{FF2B5EF4-FFF2-40B4-BE49-F238E27FC236}">
              <a16:creationId xmlns:a16="http://schemas.microsoft.com/office/drawing/2014/main" id="{00000000-0008-0000-0100-00000C000000}"/>
            </a:ext>
          </a:extLst>
        </xdr:cNvPr>
        <xdr:cNvSpPr/>
      </xdr:nvSpPr>
      <xdr:spPr>
        <a:xfrm>
          <a:off x="180973" y="21250274"/>
          <a:ext cx="16220955" cy="4238625"/>
        </a:xfrm>
        <a:prstGeom prst="roundRect">
          <a:avLst>
            <a:gd name="adj" fmla="val 13482"/>
          </a:avLst>
        </a:prstGeom>
        <a:noFill/>
        <a:ln w="19050">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MX" sz="1600" b="1">
              <a:solidFill>
                <a:schemeClr val="tx1"/>
              </a:solidFill>
            </a:rPr>
            <a:t>&lt;measuringEquipment/&gt;</a:t>
          </a:r>
        </a:p>
      </xdr:txBody>
    </xdr:sp>
    <xdr:clientData/>
  </xdr:twoCellAnchor>
  <xdr:twoCellAnchor>
    <xdr:from>
      <xdr:col>9</xdr:col>
      <xdr:colOff>19051</xdr:colOff>
      <xdr:row>69</xdr:row>
      <xdr:rowOff>180976</xdr:rowOff>
    </xdr:from>
    <xdr:to>
      <xdr:col>19</xdr:col>
      <xdr:colOff>161926</xdr:colOff>
      <xdr:row>79</xdr:row>
      <xdr:rowOff>102870</xdr:rowOff>
    </xdr:to>
    <xdr:sp macro="" textlink="">
      <xdr:nvSpPr>
        <xdr:cNvPr id="14" name="Rectángulo: esquinas redondeadas 16">
          <a:extLst>
            <a:ext uri="{FF2B5EF4-FFF2-40B4-BE49-F238E27FC236}">
              <a16:creationId xmlns:a16="http://schemas.microsoft.com/office/drawing/2014/main" id="{00000000-0008-0000-0100-00000E000000}"/>
            </a:ext>
          </a:extLst>
        </xdr:cNvPr>
        <xdr:cNvSpPr/>
      </xdr:nvSpPr>
      <xdr:spPr>
        <a:xfrm>
          <a:off x="6663691" y="10847071"/>
          <a:ext cx="9302115" cy="1741169"/>
        </a:xfrm>
        <a:prstGeom prst="roundRect">
          <a:avLst>
            <a:gd name="adj" fmla="val 9140"/>
          </a:avLst>
        </a:prstGeom>
        <a:noFill/>
        <a:ln w="19050">
          <a:solidFill>
            <a:schemeClr val="tx1">
              <a:lumMod val="50000"/>
              <a:lumOff val="50000"/>
            </a:schemeClr>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r>
            <a:rPr lang="es-MX" sz="1600" b="1">
              <a:solidFill>
                <a:schemeClr val="tx1"/>
              </a:solidFill>
              <a:latin typeface="+mn-lt"/>
              <a:ea typeface="+mn-ea"/>
              <a:cs typeface="+mn-cs"/>
            </a:rPr>
            <a:t>&lt;measuringEquipmentQuantity/&gt;</a:t>
          </a:r>
        </a:p>
      </xdr:txBody>
    </xdr:sp>
    <xdr:clientData/>
  </xdr:twoCellAnchor>
  <xdr:twoCellAnchor>
    <xdr:from>
      <xdr:col>9</xdr:col>
      <xdr:colOff>19051</xdr:colOff>
      <xdr:row>92</xdr:row>
      <xdr:rowOff>180976</xdr:rowOff>
    </xdr:from>
    <xdr:to>
      <xdr:col>19</xdr:col>
      <xdr:colOff>161926</xdr:colOff>
      <xdr:row>102</xdr:row>
      <xdr:rowOff>102870</xdr:rowOff>
    </xdr:to>
    <xdr:sp macro="" textlink="">
      <xdr:nvSpPr>
        <xdr:cNvPr id="15" name="Rectángulo: esquinas redondeadas 16">
          <a:extLst>
            <a:ext uri="{FF2B5EF4-FFF2-40B4-BE49-F238E27FC236}">
              <a16:creationId xmlns:a16="http://schemas.microsoft.com/office/drawing/2014/main" id="{00000000-0008-0000-0100-00000F000000}"/>
            </a:ext>
          </a:extLst>
        </xdr:cNvPr>
        <xdr:cNvSpPr/>
      </xdr:nvSpPr>
      <xdr:spPr>
        <a:xfrm>
          <a:off x="6663691" y="14295121"/>
          <a:ext cx="9302115" cy="1741169"/>
        </a:xfrm>
        <a:prstGeom prst="roundRect">
          <a:avLst>
            <a:gd name="adj" fmla="val 9140"/>
          </a:avLst>
        </a:prstGeom>
        <a:noFill/>
        <a:ln w="19050">
          <a:solidFill>
            <a:schemeClr val="tx1">
              <a:lumMod val="50000"/>
              <a:lumOff val="50000"/>
            </a:schemeClr>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r>
            <a:rPr lang="es-MX" sz="1600" b="1">
              <a:solidFill>
                <a:schemeClr val="tx1"/>
              </a:solidFill>
              <a:latin typeface="+mn-lt"/>
              <a:ea typeface="+mn-ea"/>
              <a:cs typeface="+mn-cs"/>
            </a:rPr>
            <a:t>&lt;measuringEquipmentQuantity/&gt;</a:t>
          </a:r>
        </a:p>
      </xdr:txBody>
    </xdr:sp>
    <xdr:clientData/>
  </xdr:twoCellAnchor>
  <xdr:twoCellAnchor>
    <xdr:from>
      <xdr:col>9</xdr:col>
      <xdr:colOff>19051</xdr:colOff>
      <xdr:row>117</xdr:row>
      <xdr:rowOff>13336</xdr:rowOff>
    </xdr:from>
    <xdr:to>
      <xdr:col>19</xdr:col>
      <xdr:colOff>161926</xdr:colOff>
      <xdr:row>126</xdr:row>
      <xdr:rowOff>118110</xdr:rowOff>
    </xdr:to>
    <xdr:sp macro="" textlink="">
      <xdr:nvSpPr>
        <xdr:cNvPr id="16" name="Rectángulo: esquinas redondeadas 16">
          <a:extLst>
            <a:ext uri="{FF2B5EF4-FFF2-40B4-BE49-F238E27FC236}">
              <a16:creationId xmlns:a16="http://schemas.microsoft.com/office/drawing/2014/main" id="{00000000-0008-0000-0100-000010000000}"/>
            </a:ext>
          </a:extLst>
        </xdr:cNvPr>
        <xdr:cNvSpPr/>
      </xdr:nvSpPr>
      <xdr:spPr>
        <a:xfrm>
          <a:off x="6663691" y="17943196"/>
          <a:ext cx="9302115" cy="1741169"/>
        </a:xfrm>
        <a:prstGeom prst="roundRect">
          <a:avLst>
            <a:gd name="adj" fmla="val 9140"/>
          </a:avLst>
        </a:prstGeom>
        <a:noFill/>
        <a:ln w="19050">
          <a:solidFill>
            <a:schemeClr val="tx1">
              <a:lumMod val="50000"/>
              <a:lumOff val="50000"/>
            </a:schemeClr>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r>
            <a:rPr lang="es-MX" sz="1600" b="1">
              <a:solidFill>
                <a:schemeClr val="tx1"/>
              </a:solidFill>
              <a:latin typeface="+mn-lt"/>
              <a:ea typeface="+mn-ea"/>
              <a:cs typeface="+mn-cs"/>
            </a:rPr>
            <a:t>&lt;measuringEquipmentQuantity/&gt;</a:t>
          </a:r>
        </a:p>
      </xdr:txBody>
    </xdr:sp>
    <xdr:clientData/>
  </xdr:twoCellAnchor>
  <xdr:twoCellAnchor>
    <xdr:from>
      <xdr:col>0</xdr:col>
      <xdr:colOff>190498</xdr:colOff>
      <xdr:row>141</xdr:row>
      <xdr:rowOff>30480</xdr:rowOff>
    </xdr:from>
    <xdr:to>
      <xdr:col>19</xdr:col>
      <xdr:colOff>373258</xdr:colOff>
      <xdr:row>164</xdr:row>
      <xdr:rowOff>55245</xdr:rowOff>
    </xdr:to>
    <xdr:sp macro="" textlink="">
      <xdr:nvSpPr>
        <xdr:cNvPr id="17" name="Rectángulo: esquinas redondeadas 16">
          <a:extLst>
            <a:ext uri="{FF2B5EF4-FFF2-40B4-BE49-F238E27FC236}">
              <a16:creationId xmlns:a16="http://schemas.microsoft.com/office/drawing/2014/main" id="{1C5E7D74-31B7-48E7-95AE-9CD071A5F1E3}"/>
            </a:ext>
          </a:extLst>
        </xdr:cNvPr>
        <xdr:cNvSpPr/>
      </xdr:nvSpPr>
      <xdr:spPr>
        <a:xfrm>
          <a:off x="180973" y="21250275"/>
          <a:ext cx="16220955" cy="4202430"/>
        </a:xfrm>
        <a:prstGeom prst="roundRect">
          <a:avLst>
            <a:gd name="adj" fmla="val 13482"/>
          </a:avLst>
        </a:prstGeom>
        <a:noFill/>
        <a:ln w="19050">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MX" sz="1600" b="1">
              <a:solidFill>
                <a:schemeClr val="tx1"/>
              </a:solidFill>
            </a:rPr>
            <a:t>&lt;measuringEquipment/&gt;</a:t>
          </a:r>
        </a:p>
      </xdr:txBody>
    </xdr:sp>
    <xdr:clientData/>
  </xdr:twoCellAnchor>
  <xdr:twoCellAnchor>
    <xdr:from>
      <xdr:col>9</xdr:col>
      <xdr:colOff>19051</xdr:colOff>
      <xdr:row>144</xdr:row>
      <xdr:rowOff>13336</xdr:rowOff>
    </xdr:from>
    <xdr:to>
      <xdr:col>19</xdr:col>
      <xdr:colOff>161926</xdr:colOff>
      <xdr:row>153</xdr:row>
      <xdr:rowOff>118110</xdr:rowOff>
    </xdr:to>
    <xdr:sp macro="" textlink="">
      <xdr:nvSpPr>
        <xdr:cNvPr id="18" name="Rectángulo: esquinas redondeadas 16">
          <a:extLst>
            <a:ext uri="{FF2B5EF4-FFF2-40B4-BE49-F238E27FC236}">
              <a16:creationId xmlns:a16="http://schemas.microsoft.com/office/drawing/2014/main" id="{9E4E488B-0A8B-4756-B57C-7AF1A421D603}"/>
            </a:ext>
          </a:extLst>
        </xdr:cNvPr>
        <xdr:cNvSpPr/>
      </xdr:nvSpPr>
      <xdr:spPr>
        <a:xfrm>
          <a:off x="6835141" y="21781771"/>
          <a:ext cx="9359265" cy="1741169"/>
        </a:xfrm>
        <a:prstGeom prst="roundRect">
          <a:avLst>
            <a:gd name="adj" fmla="val 9140"/>
          </a:avLst>
        </a:prstGeom>
        <a:noFill/>
        <a:ln w="19050">
          <a:solidFill>
            <a:schemeClr val="tx1">
              <a:lumMod val="50000"/>
              <a:lumOff val="50000"/>
            </a:schemeClr>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r>
            <a:rPr lang="es-MX" sz="1600" b="1">
              <a:solidFill>
                <a:schemeClr val="tx1"/>
              </a:solidFill>
              <a:latin typeface="+mn-lt"/>
              <a:ea typeface="+mn-ea"/>
              <a:cs typeface="+mn-cs"/>
            </a:rPr>
            <a:t>&lt;measuringEquipmentQuantity/&gt;</a:t>
          </a:r>
        </a:p>
      </xdr:txBody>
    </xdr:sp>
    <xdr:clientData/>
  </xdr:twoCellAnchor>
  <xdr:absoluteAnchor>
    <xdr:pos x="57150" y="57149"/>
    <xdr:ext cx="20116800" cy="30575251"/>
    <xdr:sp macro="" textlink="">
      <xdr:nvSpPr>
        <xdr:cNvPr id="19" name="Rectángulo: esquinas redondeadas 16">
          <a:extLst>
            <a:ext uri="{FF2B5EF4-FFF2-40B4-BE49-F238E27FC236}">
              <a16:creationId xmlns:a16="http://schemas.microsoft.com/office/drawing/2014/main" id="{6B2F3F76-4AC3-412A-9C88-06B915A5672C}"/>
            </a:ext>
          </a:extLst>
        </xdr:cNvPr>
        <xdr:cNvSpPr/>
      </xdr:nvSpPr>
      <xdr:spPr>
        <a:xfrm>
          <a:off x="57150" y="57149"/>
          <a:ext cx="20116800" cy="30575251"/>
        </a:xfrm>
        <a:prstGeom prst="roundRect">
          <a:avLst>
            <a:gd name="adj" fmla="val 1240"/>
          </a:avLst>
        </a:prstGeom>
        <a:noFill/>
        <a:ln w="25400">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horz" wrap="square" tIns="90000" rtlCol="0" anchor="t"/>
        <a:lstStyle/>
        <a:p>
          <a:pPr algn="l"/>
          <a:r>
            <a:rPr lang="es-MX" sz="1600" b="1">
              <a:solidFill>
                <a:schemeClr val="tx1"/>
              </a:solidFill>
            </a:rPr>
            <a:t>&lt;measurementResult/&gt;</a:t>
          </a:r>
        </a:p>
      </xdr:txBody>
    </xdr:sp>
    <xdr:clientData/>
  </xdr:absoluteAnchor>
</xdr:wsDr>
</file>

<file path=xl/drawings/drawing3.xml><?xml version="1.0" encoding="utf-8"?>
<xdr:wsDr xmlns:xdr="http://schemas.openxmlformats.org/drawingml/2006/spreadsheetDrawing" xmlns:a="http://schemas.openxmlformats.org/drawingml/2006/main">
  <xdr:twoCellAnchor editAs="absolute">
    <xdr:from>
      <xdr:col>1</xdr:col>
      <xdr:colOff>0</xdr:colOff>
      <xdr:row>7</xdr:row>
      <xdr:rowOff>96520</xdr:rowOff>
    </xdr:from>
    <xdr:to>
      <xdr:col>3</xdr:col>
      <xdr:colOff>18150</xdr:colOff>
      <xdr:row>9</xdr:row>
      <xdr:rowOff>20875</xdr:rowOff>
    </xdr:to>
    <xdr:sp macro="" textlink="">
      <xdr:nvSpPr>
        <xdr:cNvPr id="2" name="Round Same Side Corner Rectangle 1">
          <a:hlinkClick xmlns:r="http://schemas.openxmlformats.org/officeDocument/2006/relationships" r:id="rId1"/>
          <a:extLst>
            <a:ext uri="{FF2B5EF4-FFF2-40B4-BE49-F238E27FC236}">
              <a16:creationId xmlns:a16="http://schemas.microsoft.com/office/drawing/2014/main" id="{00000000-0008-0000-0200-000002000000}"/>
            </a:ext>
          </a:extLst>
        </xdr:cNvPr>
        <xdr:cNvSpPr>
          <a:spLocks noChangeAspect="1"/>
        </xdr:cNvSpPr>
      </xdr:nvSpPr>
      <xdr:spPr>
        <a:xfrm>
          <a:off x="180975" y="1365250"/>
          <a:ext cx="1260210" cy="286305"/>
        </a:xfrm>
        <a:prstGeom prst="round2SameRect">
          <a:avLst/>
        </a:prstGeom>
        <a:solidFill>
          <a:schemeClr val="accent1">
            <a:lumMod val="50000"/>
          </a:schemeClr>
        </a:solidFill>
        <a:ln>
          <a:noFill/>
        </a:ln>
        <a:effectLst>
          <a:innerShdw blurRad="63500" dist="50800" dir="5400000">
            <a:prstClr val="black">
              <a:alpha val="50000"/>
            </a:prstClr>
          </a:inn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r>
            <a:rPr lang="es-ES" sz="1100" b="1">
              <a:solidFill>
                <a:schemeClr val="lt1"/>
              </a:solidFill>
              <a:effectLst/>
              <a:latin typeface="+mn-lt"/>
              <a:ea typeface="+mn-ea"/>
              <a:cs typeface="+mn-cs"/>
            </a:rPr>
            <a:t>&lt;usedMethods/&gt;</a:t>
          </a:r>
          <a:endParaRPr lang="es-MX">
            <a:effectLst/>
          </a:endParaRPr>
        </a:p>
        <a:p>
          <a:pPr algn="l"/>
          <a:endParaRPr lang="es-ES" sz="1100" b="1"/>
        </a:p>
      </xdr:txBody>
    </xdr:sp>
    <xdr:clientData/>
  </xdr:twoCellAnchor>
  <xdr:absoluteAnchor>
    <xdr:pos x="1460499" y="1365250"/>
    <xdr:ext cx="1713600" cy="284400"/>
    <xdr:sp macro="" textlink="">
      <xdr:nvSpPr>
        <xdr:cNvPr id="3" name="Round Same Side Corner Rectangle 2">
          <a:hlinkClick xmlns:r="http://schemas.openxmlformats.org/officeDocument/2006/relationships" r:id="rId2"/>
          <a:extLst>
            <a:ext uri="{FF2B5EF4-FFF2-40B4-BE49-F238E27FC236}">
              <a16:creationId xmlns:a16="http://schemas.microsoft.com/office/drawing/2014/main" id="{00000000-0008-0000-0200-000003000000}"/>
            </a:ext>
          </a:extLst>
        </xdr:cNvPr>
        <xdr:cNvSpPr/>
      </xdr:nvSpPr>
      <xdr:spPr>
        <a:xfrm>
          <a:off x="1460499" y="1365250"/>
          <a:ext cx="1713600" cy="284400"/>
        </a:xfrm>
        <a:prstGeom prst="round2SameRect">
          <a:avLst/>
        </a:prstGeom>
        <a:solidFill>
          <a:srgbClr val="A27F19"/>
        </a:solidFill>
        <a:ln>
          <a:noFill/>
        </a:ln>
        <a:effectLst>
          <a:innerShdw blurRad="63500" dist="50800" dir="5400000">
            <a:prstClr val="black">
              <a:alpha val="50000"/>
            </a:prstClr>
          </a:inn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r>
            <a:rPr lang="es-ES" sz="1100" b="1">
              <a:solidFill>
                <a:schemeClr val="lt1"/>
              </a:solidFill>
              <a:effectLst/>
              <a:latin typeface="+mn-lt"/>
              <a:ea typeface="+mn-ea"/>
              <a:cs typeface="+mn-cs"/>
            </a:rPr>
            <a:t>&lt;measuringEquipments/&gt;</a:t>
          </a:r>
          <a:endParaRPr lang="es-MX">
            <a:effectLst/>
          </a:endParaRPr>
        </a:p>
      </xdr:txBody>
    </xdr:sp>
    <xdr:clientData/>
  </xdr:absoluteAnchor>
  <xdr:absoluteAnchor>
    <xdr:pos x="3202940" y="1365250"/>
    <xdr:ext cx="1569600" cy="284400"/>
    <xdr:sp macro="" textlink="">
      <xdr:nvSpPr>
        <xdr:cNvPr id="4" name="Round Same Side Corner Rectangle 3">
          <a:hlinkClick xmlns:r="http://schemas.openxmlformats.org/officeDocument/2006/relationships" r:id="rId3"/>
          <a:extLst>
            <a:ext uri="{FF2B5EF4-FFF2-40B4-BE49-F238E27FC236}">
              <a16:creationId xmlns:a16="http://schemas.microsoft.com/office/drawing/2014/main" id="{00000000-0008-0000-0200-000004000000}"/>
            </a:ext>
          </a:extLst>
        </xdr:cNvPr>
        <xdr:cNvSpPr/>
      </xdr:nvSpPr>
      <xdr:spPr>
        <a:xfrm>
          <a:off x="3202940" y="1365250"/>
          <a:ext cx="1569600" cy="284400"/>
        </a:xfrm>
        <a:prstGeom prst="round2SameRect">
          <a:avLst/>
        </a:prstGeom>
        <a:solidFill>
          <a:srgbClr val="00B050"/>
        </a:solid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r>
            <a:rPr lang="es-ES" sz="1100" b="1">
              <a:solidFill>
                <a:schemeClr val="lt1"/>
              </a:solidFill>
              <a:effectLst/>
              <a:latin typeface="+mn-lt"/>
              <a:ea typeface="+mn-ea"/>
              <a:cs typeface="+mn-cs"/>
            </a:rPr>
            <a:t>&lt;influenceConditions/&gt;</a:t>
          </a:r>
          <a:endParaRPr lang="es-MX">
            <a:effectLst/>
          </a:endParaRPr>
        </a:p>
        <a:p>
          <a:pPr algn="l"/>
          <a:endParaRPr lang="es-ES" sz="1100" b="1"/>
        </a:p>
      </xdr:txBody>
    </xdr:sp>
    <xdr:clientData/>
  </xdr:absoluteAnchor>
  <xdr:absoluteAnchor>
    <xdr:pos x="4801233" y="1365250"/>
    <xdr:ext cx="1260000" cy="284400"/>
    <xdr:sp macro="" textlink="">
      <xdr:nvSpPr>
        <xdr:cNvPr id="5" name="Round Same Side Corner Rectangle 4">
          <a:hlinkClick xmlns:r="http://schemas.openxmlformats.org/officeDocument/2006/relationships" r:id="rId4"/>
          <a:extLst>
            <a:ext uri="{FF2B5EF4-FFF2-40B4-BE49-F238E27FC236}">
              <a16:creationId xmlns:a16="http://schemas.microsoft.com/office/drawing/2014/main" id="{00000000-0008-0000-0200-000005000000}"/>
            </a:ext>
          </a:extLst>
        </xdr:cNvPr>
        <xdr:cNvSpPr/>
      </xdr:nvSpPr>
      <xdr:spPr>
        <a:xfrm>
          <a:off x="4801233" y="1365250"/>
          <a:ext cx="1260000" cy="284400"/>
        </a:xfrm>
        <a:prstGeom prst="round2SameRect">
          <a:avLst/>
        </a:prstGeom>
        <a:solidFill>
          <a:srgbClr val="C00000"/>
        </a:solidFill>
        <a:ln>
          <a:noFill/>
        </a:ln>
        <a:effectLst>
          <a:innerShdw blurRad="63500" dist="50800" dir="5400000">
            <a:prstClr val="black">
              <a:alpha val="50000"/>
            </a:prstClr>
          </a:inn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ES" sz="1100" b="1"/>
            <a:t>&lt;results/&gt;</a:t>
          </a:r>
        </a:p>
      </xdr:txBody>
    </xdr:sp>
    <xdr:clientData/>
  </xdr:absoluteAnchor>
  <xdr:absoluteAnchor>
    <xdr:pos x="47625" y="47625"/>
    <xdr:ext cx="18408650" cy="28832175"/>
    <xdr:sp macro="" textlink="">
      <xdr:nvSpPr>
        <xdr:cNvPr id="6" name="Rectángulo: esquinas redondeadas 16">
          <a:extLst>
            <a:ext uri="{FF2B5EF4-FFF2-40B4-BE49-F238E27FC236}">
              <a16:creationId xmlns:a16="http://schemas.microsoft.com/office/drawing/2014/main" id="{00000000-0008-0000-0200-000006000000}"/>
            </a:ext>
          </a:extLst>
        </xdr:cNvPr>
        <xdr:cNvSpPr/>
      </xdr:nvSpPr>
      <xdr:spPr>
        <a:xfrm>
          <a:off x="47625" y="47625"/>
          <a:ext cx="18408650" cy="28832175"/>
        </a:xfrm>
        <a:prstGeom prst="roundRect">
          <a:avLst>
            <a:gd name="adj" fmla="val 1240"/>
          </a:avLst>
        </a:prstGeom>
        <a:noFill/>
        <a:ln w="25400">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horz" wrap="square" tIns="90000" rtlCol="0" anchor="t"/>
        <a:lstStyle/>
        <a:p>
          <a:pPr algn="l"/>
          <a:r>
            <a:rPr lang="es-MX" sz="1600" b="1">
              <a:solidFill>
                <a:schemeClr val="tx1"/>
              </a:solidFill>
            </a:rPr>
            <a:t>&lt;measurementResult/&gt;</a:t>
          </a:r>
        </a:p>
      </xdr:txBody>
    </xdr:sp>
    <xdr:clientData/>
  </xdr:absoluteAnchor>
  <xdr:twoCellAnchor>
    <xdr:from>
      <xdr:col>1</xdr:col>
      <xdr:colOff>0</xdr:colOff>
      <xdr:row>10</xdr:row>
      <xdr:rowOff>106680</xdr:rowOff>
    </xdr:from>
    <xdr:to>
      <xdr:col>15</xdr:col>
      <xdr:colOff>304800</xdr:colOff>
      <xdr:row>36</xdr:row>
      <xdr:rowOff>112395</xdr:rowOff>
    </xdr:to>
    <xdr:sp macro="" textlink="">
      <xdr:nvSpPr>
        <xdr:cNvPr id="7" name="Rectángulo: esquinas redondeadas 16">
          <a:extLst>
            <a:ext uri="{FF2B5EF4-FFF2-40B4-BE49-F238E27FC236}">
              <a16:creationId xmlns:a16="http://schemas.microsoft.com/office/drawing/2014/main" id="{00000000-0008-0000-0200-000007000000}"/>
            </a:ext>
          </a:extLst>
        </xdr:cNvPr>
        <xdr:cNvSpPr/>
      </xdr:nvSpPr>
      <xdr:spPr>
        <a:xfrm>
          <a:off x="190500" y="1924050"/>
          <a:ext cx="13449300" cy="4351020"/>
        </a:xfrm>
        <a:prstGeom prst="roundRect">
          <a:avLst>
            <a:gd name="adj" fmla="val 13482"/>
          </a:avLst>
        </a:prstGeom>
        <a:noFill/>
        <a:ln w="19050">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MX" sz="1600" b="1">
              <a:solidFill>
                <a:schemeClr val="tx1"/>
              </a:solidFill>
            </a:rPr>
            <a:t>&lt;influenceConditions/&gt;</a:t>
          </a:r>
        </a:p>
      </xdr:txBody>
    </xdr:sp>
    <xdr:clientData/>
  </xdr:twoCellAnchor>
  <xdr:twoCellAnchor>
    <xdr:from>
      <xdr:col>1</xdr:col>
      <xdr:colOff>38100</xdr:colOff>
      <xdr:row>118</xdr:row>
      <xdr:rowOff>53340</xdr:rowOff>
    </xdr:from>
    <xdr:to>
      <xdr:col>15</xdr:col>
      <xdr:colOff>342900</xdr:colOff>
      <xdr:row>144</xdr:row>
      <xdr:rowOff>38100</xdr:rowOff>
    </xdr:to>
    <xdr:sp macro="" textlink="">
      <xdr:nvSpPr>
        <xdr:cNvPr id="8" name="Rectángulo: esquinas redondeadas 16">
          <a:extLst>
            <a:ext uri="{FF2B5EF4-FFF2-40B4-BE49-F238E27FC236}">
              <a16:creationId xmlns:a16="http://schemas.microsoft.com/office/drawing/2014/main" id="{00000000-0008-0000-0200-000008000000}"/>
            </a:ext>
          </a:extLst>
        </xdr:cNvPr>
        <xdr:cNvSpPr/>
      </xdr:nvSpPr>
      <xdr:spPr>
        <a:xfrm>
          <a:off x="219075" y="6758940"/>
          <a:ext cx="14963775" cy="4690110"/>
        </a:xfrm>
        <a:prstGeom prst="roundRect">
          <a:avLst>
            <a:gd name="adj" fmla="val 13482"/>
          </a:avLst>
        </a:prstGeom>
        <a:noFill/>
        <a:ln w="19050">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MX" sz="1600" b="1">
              <a:solidFill>
                <a:schemeClr val="tx1"/>
              </a:solidFill>
            </a:rPr>
            <a:t>&lt;influenceCondition/&gt;</a:t>
          </a:r>
        </a:p>
      </xdr:txBody>
    </xdr:sp>
    <xdr:clientData/>
  </xdr:twoCellAnchor>
  <xdr:twoCellAnchor>
    <xdr:from>
      <xdr:col>1</xdr:col>
      <xdr:colOff>38100</xdr:colOff>
      <xdr:row>144</xdr:row>
      <xdr:rowOff>152400</xdr:rowOff>
    </xdr:from>
    <xdr:to>
      <xdr:col>15</xdr:col>
      <xdr:colOff>342900</xdr:colOff>
      <xdr:row>155</xdr:row>
      <xdr:rowOff>171450</xdr:rowOff>
    </xdr:to>
    <xdr:sp macro="" textlink="">
      <xdr:nvSpPr>
        <xdr:cNvPr id="9" name="Rectángulo: esquinas redondeadas 16">
          <a:extLst>
            <a:ext uri="{FF2B5EF4-FFF2-40B4-BE49-F238E27FC236}">
              <a16:creationId xmlns:a16="http://schemas.microsoft.com/office/drawing/2014/main" id="{2DA02746-C648-4F0D-A786-4B7403AA7FF8}"/>
            </a:ext>
          </a:extLst>
        </xdr:cNvPr>
        <xdr:cNvSpPr/>
      </xdr:nvSpPr>
      <xdr:spPr>
        <a:xfrm>
          <a:off x="219075" y="11563350"/>
          <a:ext cx="14963775" cy="2009775"/>
        </a:xfrm>
        <a:prstGeom prst="roundRect">
          <a:avLst>
            <a:gd name="adj" fmla="val 13482"/>
          </a:avLst>
        </a:prstGeom>
        <a:noFill/>
        <a:ln w="19050">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MX" sz="1600" b="1">
              <a:solidFill>
                <a:schemeClr val="tx1"/>
              </a:solidFill>
            </a:rPr>
            <a:t>&lt;influenceConditions/&gt;</a:t>
          </a:r>
        </a:p>
      </xdr:txBody>
    </xdr:sp>
    <xdr:clientData/>
  </xdr:twoCellAnchor>
  <xdr:twoCellAnchor>
    <xdr:from>
      <xdr:col>1</xdr:col>
      <xdr:colOff>0</xdr:colOff>
      <xdr:row>37</xdr:row>
      <xdr:rowOff>106680</xdr:rowOff>
    </xdr:from>
    <xdr:to>
      <xdr:col>15</xdr:col>
      <xdr:colOff>304800</xdr:colOff>
      <xdr:row>63</xdr:row>
      <xdr:rowOff>112395</xdr:rowOff>
    </xdr:to>
    <xdr:sp macro="" textlink="">
      <xdr:nvSpPr>
        <xdr:cNvPr id="10" name="Rectángulo: esquinas redondeadas 16">
          <a:extLst>
            <a:ext uri="{FF2B5EF4-FFF2-40B4-BE49-F238E27FC236}">
              <a16:creationId xmlns:a16="http://schemas.microsoft.com/office/drawing/2014/main" id="{1068BC27-E737-4A1C-8331-02095DFEC841}"/>
            </a:ext>
          </a:extLst>
        </xdr:cNvPr>
        <xdr:cNvSpPr/>
      </xdr:nvSpPr>
      <xdr:spPr>
        <a:xfrm>
          <a:off x="180975" y="1924050"/>
          <a:ext cx="14963775" cy="4712970"/>
        </a:xfrm>
        <a:prstGeom prst="roundRect">
          <a:avLst>
            <a:gd name="adj" fmla="val 13482"/>
          </a:avLst>
        </a:prstGeom>
        <a:noFill/>
        <a:ln w="19050">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MX" sz="1600" b="1">
              <a:solidFill>
                <a:schemeClr val="tx1"/>
              </a:solidFill>
            </a:rPr>
            <a:t>&lt;influenceConditions/&gt;</a:t>
          </a:r>
        </a:p>
      </xdr:txBody>
    </xdr:sp>
    <xdr:clientData/>
  </xdr:twoCellAnchor>
  <xdr:twoCellAnchor>
    <xdr:from>
      <xdr:col>1</xdr:col>
      <xdr:colOff>0</xdr:colOff>
      <xdr:row>64</xdr:row>
      <xdr:rowOff>106680</xdr:rowOff>
    </xdr:from>
    <xdr:to>
      <xdr:col>15</xdr:col>
      <xdr:colOff>304800</xdr:colOff>
      <xdr:row>90</xdr:row>
      <xdr:rowOff>112395</xdr:rowOff>
    </xdr:to>
    <xdr:sp macro="" textlink="">
      <xdr:nvSpPr>
        <xdr:cNvPr id="11" name="Rectángulo: esquinas redondeadas 16">
          <a:extLst>
            <a:ext uri="{FF2B5EF4-FFF2-40B4-BE49-F238E27FC236}">
              <a16:creationId xmlns:a16="http://schemas.microsoft.com/office/drawing/2014/main" id="{5CC45C92-53D5-4A09-83B0-592CB7AA95BA}"/>
            </a:ext>
          </a:extLst>
        </xdr:cNvPr>
        <xdr:cNvSpPr/>
      </xdr:nvSpPr>
      <xdr:spPr>
        <a:xfrm>
          <a:off x="180975" y="6810375"/>
          <a:ext cx="16516350" cy="4712970"/>
        </a:xfrm>
        <a:prstGeom prst="roundRect">
          <a:avLst>
            <a:gd name="adj" fmla="val 13482"/>
          </a:avLst>
        </a:prstGeom>
        <a:noFill/>
        <a:ln w="19050">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MX" sz="1600" b="1">
              <a:solidFill>
                <a:schemeClr val="tx1"/>
              </a:solidFill>
            </a:rPr>
            <a:t>&lt;influenceConditions/&gt;</a:t>
          </a:r>
        </a:p>
      </xdr:txBody>
    </xdr:sp>
    <xdr:clientData/>
  </xdr:twoCellAnchor>
  <xdr:twoCellAnchor>
    <xdr:from>
      <xdr:col>1</xdr:col>
      <xdr:colOff>0</xdr:colOff>
      <xdr:row>91</xdr:row>
      <xdr:rowOff>106680</xdr:rowOff>
    </xdr:from>
    <xdr:to>
      <xdr:col>15</xdr:col>
      <xdr:colOff>304800</xdr:colOff>
      <xdr:row>117</xdr:row>
      <xdr:rowOff>112395</xdr:rowOff>
    </xdr:to>
    <xdr:sp macro="" textlink="">
      <xdr:nvSpPr>
        <xdr:cNvPr id="12" name="Rectángulo: esquinas redondeadas 16">
          <a:extLst>
            <a:ext uri="{FF2B5EF4-FFF2-40B4-BE49-F238E27FC236}">
              <a16:creationId xmlns:a16="http://schemas.microsoft.com/office/drawing/2014/main" id="{AF0C51A2-29FF-4B82-8A11-70A5AE3A4E52}"/>
            </a:ext>
          </a:extLst>
        </xdr:cNvPr>
        <xdr:cNvSpPr/>
      </xdr:nvSpPr>
      <xdr:spPr>
        <a:xfrm>
          <a:off x="180975" y="11696700"/>
          <a:ext cx="16859250" cy="4712970"/>
        </a:xfrm>
        <a:prstGeom prst="roundRect">
          <a:avLst>
            <a:gd name="adj" fmla="val 13482"/>
          </a:avLst>
        </a:prstGeom>
        <a:noFill/>
        <a:ln w="19050">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MX" sz="1600" b="1">
              <a:solidFill>
                <a:schemeClr val="tx1"/>
              </a:solidFill>
            </a:rPr>
            <a:t>&lt;influenceConditions/&gt;</a:t>
          </a:r>
        </a:p>
      </xdr:txBody>
    </xdr:sp>
    <xdr:clientData/>
  </xdr:twoCellAnchor>
</xdr:wsDr>
</file>

<file path=xl/drawings/drawing4.xml><?xml version="1.0" encoding="utf-8"?>
<xdr:wsDr xmlns:xdr="http://schemas.openxmlformats.org/drawingml/2006/spreadsheetDrawing" xmlns:a="http://schemas.openxmlformats.org/drawingml/2006/main">
  <xdr:twoCellAnchor editAs="absolute">
    <xdr:from>
      <xdr:col>1</xdr:col>
      <xdr:colOff>0</xdr:colOff>
      <xdr:row>7</xdr:row>
      <xdr:rowOff>95250</xdr:rowOff>
    </xdr:from>
    <xdr:to>
      <xdr:col>2</xdr:col>
      <xdr:colOff>894450</xdr:colOff>
      <xdr:row>9</xdr:row>
      <xdr:rowOff>21510</xdr:rowOff>
    </xdr:to>
    <xdr:sp macro="" textlink="">
      <xdr:nvSpPr>
        <xdr:cNvPr id="2" name="Round Same Side Corner Rectangle 1">
          <a:hlinkClick xmlns:r="http://schemas.openxmlformats.org/officeDocument/2006/relationships" r:id="rId1"/>
          <a:extLst>
            <a:ext uri="{FF2B5EF4-FFF2-40B4-BE49-F238E27FC236}">
              <a16:creationId xmlns:a16="http://schemas.microsoft.com/office/drawing/2014/main" id="{00000000-0008-0000-0300-000002000000}"/>
            </a:ext>
          </a:extLst>
        </xdr:cNvPr>
        <xdr:cNvSpPr>
          <a:spLocks noChangeAspect="1"/>
        </xdr:cNvSpPr>
      </xdr:nvSpPr>
      <xdr:spPr>
        <a:xfrm>
          <a:off x="180975" y="1367790"/>
          <a:ext cx="1260210" cy="288210"/>
        </a:xfrm>
        <a:prstGeom prst="round2SameRect">
          <a:avLst/>
        </a:prstGeom>
        <a:solidFill>
          <a:srgbClr val="203764"/>
        </a:solidFill>
        <a:ln>
          <a:noFill/>
        </a:ln>
        <a:effectLst>
          <a:innerShdw blurRad="63500" dist="50800" dir="5400000">
            <a:prstClr val="black">
              <a:alpha val="50000"/>
            </a:prstClr>
          </a:inn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r>
            <a:rPr lang="es-ES" sz="1100" b="1">
              <a:solidFill>
                <a:schemeClr val="lt1"/>
              </a:solidFill>
              <a:effectLst/>
              <a:latin typeface="+mn-lt"/>
              <a:ea typeface="+mn-ea"/>
              <a:cs typeface="+mn-cs"/>
            </a:rPr>
            <a:t>&lt;usedMethods/&gt;</a:t>
          </a:r>
          <a:endParaRPr lang="es-MX">
            <a:effectLst/>
          </a:endParaRPr>
        </a:p>
      </xdr:txBody>
    </xdr:sp>
    <xdr:clientData/>
  </xdr:twoCellAnchor>
  <xdr:oneCellAnchor>
    <xdr:from>
      <xdr:col>2</xdr:col>
      <xdr:colOff>916304</xdr:colOff>
      <xdr:row>7</xdr:row>
      <xdr:rowOff>91440</xdr:rowOff>
    </xdr:from>
    <xdr:ext cx="1713600" cy="284400"/>
    <xdr:sp macro="" textlink="">
      <xdr:nvSpPr>
        <xdr:cNvPr id="3" name="Round Same Side Corner Rectangle 2">
          <a:hlinkClick xmlns:r="http://schemas.openxmlformats.org/officeDocument/2006/relationships" r:id="rId2"/>
          <a:extLst>
            <a:ext uri="{FF2B5EF4-FFF2-40B4-BE49-F238E27FC236}">
              <a16:creationId xmlns:a16="http://schemas.microsoft.com/office/drawing/2014/main" id="{00000000-0008-0000-0300-000003000000}"/>
            </a:ext>
          </a:extLst>
        </xdr:cNvPr>
        <xdr:cNvSpPr/>
      </xdr:nvSpPr>
      <xdr:spPr>
        <a:xfrm>
          <a:off x="1459229" y="1367790"/>
          <a:ext cx="1713600" cy="284400"/>
        </a:xfrm>
        <a:prstGeom prst="round2SameRect">
          <a:avLst/>
        </a:prstGeom>
        <a:solidFill>
          <a:srgbClr val="A27F19"/>
        </a:solidFill>
        <a:ln>
          <a:noFill/>
        </a:ln>
        <a:effectLst>
          <a:innerShdw blurRad="63500" dist="50800" dir="5400000">
            <a:prstClr val="black">
              <a:alpha val="50000"/>
            </a:prstClr>
          </a:inn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r>
            <a:rPr lang="es-ES" sz="1100" b="1">
              <a:solidFill>
                <a:schemeClr val="lt1"/>
              </a:solidFill>
              <a:effectLst/>
              <a:latin typeface="+mn-lt"/>
              <a:ea typeface="+mn-ea"/>
              <a:cs typeface="+mn-cs"/>
            </a:rPr>
            <a:t>&lt;measuringEquipments/&gt;</a:t>
          </a:r>
          <a:endParaRPr lang="es-MX">
            <a:effectLst/>
          </a:endParaRPr>
        </a:p>
        <a:p>
          <a:pPr algn="l"/>
          <a:endParaRPr lang="es-ES" sz="1100" b="1"/>
        </a:p>
      </xdr:txBody>
    </xdr:sp>
    <xdr:clientData/>
  </xdr:oneCellAnchor>
  <xdr:oneCellAnchor>
    <xdr:from>
      <xdr:col>2</xdr:col>
      <xdr:colOff>2647315</xdr:colOff>
      <xdr:row>7</xdr:row>
      <xdr:rowOff>91440</xdr:rowOff>
    </xdr:from>
    <xdr:ext cx="1569600" cy="284400"/>
    <xdr:sp macro="" textlink="">
      <xdr:nvSpPr>
        <xdr:cNvPr id="4" name="Round Same Side Corner Rectangle 3">
          <a:hlinkClick xmlns:r="http://schemas.openxmlformats.org/officeDocument/2006/relationships" r:id="rId3"/>
          <a:extLst>
            <a:ext uri="{FF2B5EF4-FFF2-40B4-BE49-F238E27FC236}">
              <a16:creationId xmlns:a16="http://schemas.microsoft.com/office/drawing/2014/main" id="{00000000-0008-0000-0300-000004000000}"/>
            </a:ext>
          </a:extLst>
        </xdr:cNvPr>
        <xdr:cNvSpPr/>
      </xdr:nvSpPr>
      <xdr:spPr>
        <a:xfrm>
          <a:off x="3190240" y="1367790"/>
          <a:ext cx="1569600" cy="284400"/>
        </a:xfrm>
        <a:prstGeom prst="round2SameRect">
          <a:avLst/>
        </a:prstGeom>
        <a:solidFill>
          <a:srgbClr val="00B050"/>
        </a:solidFill>
        <a:ln>
          <a:noFill/>
        </a:ln>
        <a:effectLst>
          <a:innerShdw blurRad="63500" dist="50800" dir="5400000">
            <a:prstClr val="black">
              <a:alpha val="50000"/>
            </a:prstClr>
          </a:inn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marR="0" lvl="0" indent="0" algn="l" defTabSz="914400" eaLnBrk="1" fontAlgn="auto" latinLnBrk="0" hangingPunct="1">
            <a:lnSpc>
              <a:spcPct val="100000"/>
            </a:lnSpc>
            <a:spcBef>
              <a:spcPts val="0"/>
            </a:spcBef>
            <a:spcAft>
              <a:spcPts val="0"/>
            </a:spcAft>
            <a:buClrTx/>
            <a:buSzTx/>
            <a:buFontTx/>
            <a:buNone/>
            <a:tabLst/>
            <a:defRPr/>
          </a:pPr>
          <a:r>
            <a:rPr lang="es-ES" sz="1100" b="1">
              <a:solidFill>
                <a:schemeClr val="lt1"/>
              </a:solidFill>
              <a:effectLst/>
              <a:latin typeface="+mn-lt"/>
              <a:ea typeface="+mn-ea"/>
              <a:cs typeface="+mn-cs"/>
            </a:rPr>
            <a:t>&lt;influenceConditions/&gt;</a:t>
          </a:r>
          <a:endParaRPr lang="es-MX">
            <a:effectLst/>
          </a:endParaRPr>
        </a:p>
        <a:p>
          <a:pPr algn="l"/>
          <a:endParaRPr lang="es-ES" sz="1100" b="1"/>
        </a:p>
      </xdr:txBody>
    </xdr:sp>
    <xdr:clientData/>
  </xdr:oneCellAnchor>
  <xdr:oneCellAnchor>
    <xdr:from>
      <xdr:col>4</xdr:col>
      <xdr:colOff>40004</xdr:colOff>
      <xdr:row>7</xdr:row>
      <xdr:rowOff>91440</xdr:rowOff>
    </xdr:from>
    <xdr:ext cx="1260000" cy="284400"/>
    <xdr:sp macro="" textlink="">
      <xdr:nvSpPr>
        <xdr:cNvPr id="5" name="Round Same Side Corner Rectangle 4">
          <a:hlinkClick xmlns:r="http://schemas.openxmlformats.org/officeDocument/2006/relationships" r:id="rId4"/>
          <a:extLst>
            <a:ext uri="{FF2B5EF4-FFF2-40B4-BE49-F238E27FC236}">
              <a16:creationId xmlns:a16="http://schemas.microsoft.com/office/drawing/2014/main" id="{00000000-0008-0000-0300-000005000000}"/>
            </a:ext>
          </a:extLst>
        </xdr:cNvPr>
        <xdr:cNvSpPr/>
      </xdr:nvSpPr>
      <xdr:spPr>
        <a:xfrm>
          <a:off x="4792979" y="1367790"/>
          <a:ext cx="1260000" cy="284400"/>
        </a:xfrm>
        <a:prstGeom prst="round2SameRect">
          <a:avLst/>
        </a:prstGeom>
        <a:solidFill>
          <a:srgbClr val="C00000"/>
        </a:solidFill>
        <a:ln>
          <a:noFill/>
        </a:ln>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r>
            <a:rPr lang="es-ES" sz="1100" b="1">
              <a:solidFill>
                <a:schemeClr val="lt1"/>
              </a:solidFill>
              <a:effectLst/>
              <a:latin typeface="+mn-lt"/>
              <a:ea typeface="+mn-ea"/>
              <a:cs typeface="+mn-cs"/>
            </a:rPr>
            <a:t>&lt;results/&gt;</a:t>
          </a:r>
          <a:endParaRPr lang="es-MX">
            <a:effectLst/>
          </a:endParaRPr>
        </a:p>
      </xdr:txBody>
    </xdr:sp>
    <xdr:clientData/>
  </xdr:oneCellAnchor>
  <xdr:absoluteAnchor>
    <xdr:pos x="50800" y="52704"/>
    <xdr:ext cx="30238700" cy="20578446"/>
    <xdr:sp macro="" textlink="">
      <xdr:nvSpPr>
        <xdr:cNvPr id="6" name="Rectángulo: esquinas redondeadas 16">
          <a:extLst>
            <a:ext uri="{FF2B5EF4-FFF2-40B4-BE49-F238E27FC236}">
              <a16:creationId xmlns:a16="http://schemas.microsoft.com/office/drawing/2014/main" id="{00000000-0008-0000-0300-000006000000}"/>
            </a:ext>
          </a:extLst>
        </xdr:cNvPr>
        <xdr:cNvSpPr/>
      </xdr:nvSpPr>
      <xdr:spPr>
        <a:xfrm>
          <a:off x="50800" y="52704"/>
          <a:ext cx="30238700" cy="20578446"/>
        </a:xfrm>
        <a:prstGeom prst="roundRect">
          <a:avLst>
            <a:gd name="adj" fmla="val 1240"/>
          </a:avLst>
        </a:prstGeom>
        <a:noFill/>
        <a:ln w="25400">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vert="horz" wrap="square" tIns="90000" rtlCol="0" anchor="t"/>
        <a:lstStyle/>
        <a:p>
          <a:pPr algn="l"/>
          <a:r>
            <a:rPr lang="es-MX" sz="1600" b="1">
              <a:solidFill>
                <a:schemeClr val="tx1"/>
              </a:solidFill>
            </a:rPr>
            <a:t>&lt;measurementResult/&gt;</a:t>
          </a:r>
        </a:p>
      </xdr:txBody>
    </xdr:sp>
    <xdr:clientData/>
  </xdr:absoluteAnchor>
  <xdr:twoCellAnchor>
    <xdr:from>
      <xdr:col>0</xdr:col>
      <xdr:colOff>180974</xdr:colOff>
      <xdr:row>10</xdr:row>
      <xdr:rowOff>76197</xdr:rowOff>
    </xdr:from>
    <xdr:to>
      <xdr:col>23</xdr:col>
      <xdr:colOff>251084</xdr:colOff>
      <xdr:row>76</xdr:row>
      <xdr:rowOff>66675</xdr:rowOff>
    </xdr:to>
    <xdr:sp macro="" textlink="">
      <xdr:nvSpPr>
        <xdr:cNvPr id="7" name="Rectángulo: esquinas redondeadas 16">
          <a:extLst>
            <a:ext uri="{FF2B5EF4-FFF2-40B4-BE49-F238E27FC236}">
              <a16:creationId xmlns:a16="http://schemas.microsoft.com/office/drawing/2014/main" id="{00000000-0008-0000-0300-000007000000}"/>
            </a:ext>
          </a:extLst>
        </xdr:cNvPr>
        <xdr:cNvSpPr/>
      </xdr:nvSpPr>
      <xdr:spPr>
        <a:xfrm>
          <a:off x="180974" y="1895472"/>
          <a:ext cx="27444960" cy="11753853"/>
        </a:xfrm>
        <a:prstGeom prst="roundRect">
          <a:avLst>
            <a:gd name="adj" fmla="val 1587"/>
          </a:avLst>
        </a:prstGeom>
        <a:noFill/>
        <a:ln w="19050">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MX" sz="1600" b="1">
              <a:solidFill>
                <a:schemeClr val="tx1"/>
              </a:solidFill>
            </a:rPr>
            <a:t>&lt;Result/&gt;</a:t>
          </a:r>
        </a:p>
      </xdr:txBody>
    </xdr:sp>
    <xdr:clientData/>
  </xdr:twoCellAnchor>
  <xdr:twoCellAnchor>
    <xdr:from>
      <xdr:col>2</xdr:col>
      <xdr:colOff>2493644</xdr:colOff>
      <xdr:row>42</xdr:row>
      <xdr:rowOff>154305</xdr:rowOff>
    </xdr:from>
    <xdr:to>
      <xdr:col>16</xdr:col>
      <xdr:colOff>573405</xdr:colOff>
      <xdr:row>66</xdr:row>
      <xdr:rowOff>161925</xdr:rowOff>
    </xdr:to>
    <xdr:sp macro="" textlink="">
      <xdr:nvSpPr>
        <xdr:cNvPr id="8" name="Rectángulo: esquinas redondeadas 16">
          <a:extLst>
            <a:ext uri="{FF2B5EF4-FFF2-40B4-BE49-F238E27FC236}">
              <a16:creationId xmlns:a16="http://schemas.microsoft.com/office/drawing/2014/main" id="{00000000-0008-0000-0300-000008000000}"/>
            </a:ext>
          </a:extLst>
        </xdr:cNvPr>
        <xdr:cNvSpPr/>
      </xdr:nvSpPr>
      <xdr:spPr>
        <a:xfrm>
          <a:off x="3036569" y="7764780"/>
          <a:ext cx="15986761" cy="4351020"/>
        </a:xfrm>
        <a:prstGeom prst="roundRect">
          <a:avLst>
            <a:gd name="adj" fmla="val 9140"/>
          </a:avLst>
        </a:prstGeom>
        <a:noFill/>
        <a:ln w="19050">
          <a:solidFill>
            <a:schemeClr val="tx1">
              <a:lumMod val="50000"/>
              <a:lumOff val="50000"/>
            </a:schemeClr>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marL="0" indent="0" algn="l"/>
          <a:r>
            <a:rPr lang="es-MX" sz="1600" b="1">
              <a:solidFill>
                <a:schemeClr val="tx1"/>
              </a:solidFill>
              <a:latin typeface="+mn-lt"/>
              <a:ea typeface="+mn-ea"/>
              <a:cs typeface="+mn-cs"/>
            </a:rPr>
            <a:t>&lt;measurementMetadata/&gt;</a:t>
          </a:r>
        </a:p>
      </xdr:txBody>
    </xdr:sp>
    <xdr:clientData/>
  </xdr:twoCellAnchor>
  <xdr:twoCellAnchor>
    <xdr:from>
      <xdr:col>0</xdr:col>
      <xdr:colOff>173355</xdr:colOff>
      <xdr:row>77</xdr:row>
      <xdr:rowOff>55241</xdr:rowOff>
    </xdr:from>
    <xdr:to>
      <xdr:col>23</xdr:col>
      <xdr:colOff>245580</xdr:colOff>
      <xdr:row>111</xdr:row>
      <xdr:rowOff>149679</xdr:rowOff>
    </xdr:to>
    <xdr:sp macro="" textlink="">
      <xdr:nvSpPr>
        <xdr:cNvPr id="9" name="Rectángulo: esquinas redondeadas 16">
          <a:extLst>
            <a:ext uri="{FF2B5EF4-FFF2-40B4-BE49-F238E27FC236}">
              <a16:creationId xmlns:a16="http://schemas.microsoft.com/office/drawing/2014/main" id="{00000000-0008-0000-0300-000009000000}"/>
            </a:ext>
          </a:extLst>
        </xdr:cNvPr>
        <xdr:cNvSpPr/>
      </xdr:nvSpPr>
      <xdr:spPr>
        <a:xfrm>
          <a:off x="173355" y="13689598"/>
          <a:ext cx="27204868" cy="6108795"/>
        </a:xfrm>
        <a:prstGeom prst="roundRect">
          <a:avLst>
            <a:gd name="adj" fmla="val 1679"/>
          </a:avLst>
        </a:prstGeom>
        <a:noFill/>
        <a:ln w="19050">
          <a:solidFill>
            <a:schemeClr val="tx1"/>
          </a:solidFill>
        </a:ln>
        <a:effectLst>
          <a:outerShdw blurRad="50800" dist="38100" dir="2700000" algn="tl" rotWithShape="0">
            <a:prstClr val="black">
              <a:alpha val="40000"/>
            </a:prstClr>
          </a:outerShdw>
        </a:effectLst>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r>
            <a:rPr lang="es-MX" sz="1600" b="1">
              <a:solidFill>
                <a:schemeClr val="tx1"/>
              </a:solidFill>
            </a:rPr>
            <a:t>&lt;Result/&gt;</a:t>
          </a:r>
        </a:p>
      </xdr:txBody>
    </xdr:sp>
    <xdr:clientData/>
  </xdr:twoCellAnchor>
</xdr:wsDr>
</file>

<file path=xl/drawings/drawing5.xml><?xml version="1.0" encoding="utf-8"?>
<xdr:wsDr xmlns:xdr="http://schemas.openxmlformats.org/drawingml/2006/spreadsheetDrawing" xmlns:a="http://schemas.openxmlformats.org/drawingml/2006/main">
  <xdr:twoCellAnchor editAs="oneCell">
    <xdr:from>
      <xdr:col>11</xdr:col>
      <xdr:colOff>12700</xdr:colOff>
      <xdr:row>4</xdr:row>
      <xdr:rowOff>0</xdr:rowOff>
    </xdr:from>
    <xdr:to>
      <xdr:col>12</xdr:col>
      <xdr:colOff>55880</xdr:colOff>
      <xdr:row>5</xdr:row>
      <xdr:rowOff>17780</xdr:rowOff>
    </xdr:to>
    <xdr:sp macro="" textlink="">
      <xdr:nvSpPr>
        <xdr:cNvPr id="7169" name="ComboBox1" hidden="1">
          <a:extLst>
            <a:ext uri="{63B3BB69-23CF-44E3-9099-C40C66FF867C}">
              <a14:compatExt xmlns:a14="http://schemas.microsoft.com/office/drawing/2010/main" spid="_x0000_s7169"/>
            </a:ext>
            <a:ext uri="{FF2B5EF4-FFF2-40B4-BE49-F238E27FC236}">
              <a16:creationId xmlns:a16="http://schemas.microsoft.com/office/drawing/2014/main" id="{00000000-0008-0000-0400-0000011C0000}"/>
            </a:ext>
          </a:extLst>
        </xdr:cNvPr>
        <xdr:cNvSpPr/>
      </xdr:nvSpPr>
      <xdr:spPr bwMode="auto">
        <a:xfrm>
          <a:off x="0" y="0"/>
          <a:ext cx="0" cy="0"/>
        </a:xfrm>
        <a:prstGeom prst="rect">
          <a:avLst/>
        </a:prstGeom>
        <a:noFill/>
        <a:ln>
          <a:noFill/>
        </a:ln>
        <a:extLst>
          <a:ext uri="{91240B29-F687-4F45-9708-019B960494DF}">
            <a14:hiddenLine xmlns:a14="http://schemas.microsoft.com/office/drawing/2010/main" w="9525">
              <a:noFill/>
              <a:miter lim="800000"/>
              <a:headEnd/>
              <a:tailEnd/>
            </a14:hiddenLine>
          </a:ext>
        </a:extLst>
      </xdr:spPr>
    </xdr:sp>
    <xdr:clientData/>
  </xdr:twoCellAnchor>
  <mc:AlternateContent xmlns:mc="http://schemas.openxmlformats.org/markup-compatibility/2006">
    <mc:Choice xmlns:a14="http://schemas.microsoft.com/office/drawing/2010/main" Requires="a14">
      <xdr:twoCellAnchor editAs="oneCell">
        <xdr:from>
          <xdr:col>14</xdr:col>
          <xdr:colOff>30480</xdr:colOff>
          <xdr:row>3</xdr:row>
          <xdr:rowOff>38100</xdr:rowOff>
        </xdr:from>
        <xdr:to>
          <xdr:col>15</xdr:col>
          <xdr:colOff>30480</xdr:colOff>
          <xdr:row>4</xdr:row>
          <xdr:rowOff>38100</xdr:rowOff>
        </xdr:to>
        <xdr:sp macro="" textlink="">
          <xdr:nvSpPr>
            <xdr:cNvPr id="5136" name="ComboBox1" hidden="1">
              <a:extLst>
                <a:ext uri="{63B3BB69-23CF-44E3-9099-C40C66FF867C}">
                  <a14:compatExt spid="_x0000_s5136"/>
                </a:ext>
                <a:ext uri="{FF2B5EF4-FFF2-40B4-BE49-F238E27FC236}">
                  <a16:creationId xmlns:a16="http://schemas.microsoft.com/office/drawing/2014/main" id="{00000000-0008-0000-0500-000010140000}"/>
                </a:ext>
              </a:extLst>
            </xdr:cNvPr>
            <xdr:cNvSpPr/>
          </xdr:nvSpPr>
          <xdr:spPr bwMode="auto">
            <a:xfrm>
              <a:off x="0" y="0"/>
              <a:ext cx="0" cy="0"/>
            </a:xfrm>
            <a:prstGeom prst="rect">
              <a:avLst/>
            </a:prstGeom>
            <a:noFill/>
            <a:ln>
              <a:noFill/>
            </a:ln>
            <a:extLst>
              <a:ext uri="{91240B29-F687-4F45-9708-019B960494DF}">
                <a14:hiddenLine w="9525">
                  <a:noFill/>
                  <a:miter lim="800000"/>
                  <a:headEnd/>
                  <a:tailEnd/>
                </a14:hiddenLine>
              </a:ext>
            </a:extLst>
          </xdr:spPr>
        </xdr:sp>
        <xdr:clientData/>
      </xdr:twoCellAnchor>
    </mc:Choice>
    <mc:Fallback/>
  </mc:AlternateContent>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 xr:uid="{00000000-000C-0000-FFFF-FFFF05000000}" name="Tabla125" displayName="Tabla125" ref="G6:H7" tableType="xml" totalsRowShown="0" headerRowDxfId="475" dataDxfId="474" tableBorderDxfId="473">
  <autoFilter ref="G6:H7" xr:uid="{00000000-0009-0000-0100-00000C000000}"/>
  <tableColumns count="2">
    <tableColumn id="1" xr3:uid="{00000000-0010-0000-0500-000001000000}" uniqueName="ns1:contentOnce" name="Name" dataDxfId="472">
      <xmlColumnPr mapId="4" xpath="/ns1:digitalCalibrationCertificate/ns1:measurementResults/ns1:measurementResult/ns1:usedSoftware/ns1:software/ns1:name/ns1:contentOnce" xmlDataType="string"/>
    </tableColumn>
    <tableColumn id="2" xr3:uid="{00000000-0010-0000-0500-000002000000}" uniqueName="lang" name="Release" dataDxfId="471">
      <xmlColumnPr mapId="4" xpath="/ns1:digitalCalibrationCertificate/ns1:measurementResults/ns1:measurementResult/ns1:usedSoftware/ns1:software/ns1:name/ns1:contentOnce/@lang" xmlDataType="string"/>
    </tableColumn>
  </tableColumns>
  <tableStyleInfo name="TableStyleMedium2"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 xr:uid="{00000000-000C-0000-FFFF-FFFF06000000}" name="Tabla65" displayName="Tabla65" ref="D5:E7" tableType="xml" totalsRowShown="0" headerRowDxfId="470" dataDxfId="469">
  <autoFilter ref="D5:E7" xr:uid="{00000000-0009-0000-0100-00000D000000}"/>
  <tableColumns count="2">
    <tableColumn id="1" xr3:uid="{00000000-0010-0000-0600-000001000000}" uniqueName="ns1:content" name="Name" dataDxfId="468">
      <xmlColumnPr mapId="4" xpath="/ns1:digitalCalibrationCertificate/ns1:measurementResults/ns1:measurementResult/ns1:name/ns1:content" xmlDataType="string"/>
    </tableColumn>
    <tableColumn id="2" xr3:uid="{00000000-0010-0000-0600-000002000000}" uniqueName="lang" name="Lang" dataDxfId="467">
      <xmlColumnPr mapId="4" xpath="/ns1:digitalCalibrationCertificate/ns1:measurementResults/ns1:measurementResult/ns1:name/ns1:content/@lang" xmlDataType="string"/>
    </tableColumn>
  </tableColumns>
  <tableStyleInfo name="TableStyleMedium2"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 xr:uid="{4E9FE18B-EDE3-42E3-BE11-374F5F5B87EB}" name="Tabla6525" displayName="Tabla6525" ref="D17:E19" tableType="xml" totalsRowShown="0" headerRowDxfId="466" dataDxfId="465">
  <autoFilter ref="D17:E19" xr:uid="{4E9FE18B-EDE3-42E3-BE11-374F5F5B87EB}"/>
  <tableColumns count="2">
    <tableColumn id="1" xr3:uid="{865D2C06-867F-43A7-971A-E596F0CB6A4A}" uniqueName="ns1:content" name="Name" dataDxfId="464">
      <xmlColumnPr mapId="4" xpath="/ns1:digitalCalibrationCertificate/ns1:measurementResults/ns1:measurementResult/ns1:usedMethods/ns1:usedMethodDevelop/ns1:name/ns1:content" xmlDataType="string"/>
    </tableColumn>
    <tableColumn id="2" xr3:uid="{370786C7-B113-4CA5-B663-90CBABE1923C}" uniqueName="lang" name="lang" dataDxfId="463">
      <xmlColumnPr mapId="4" xpath="/ns1:digitalCalibrationCertificate/ns1:measurementResults/ns1:measurementResult/ns1:usedMethods/ns1:usedMethodDevelop/ns1:name/ns1:content/@lang" xmlDataType="string"/>
    </tableColumn>
  </tableColumns>
  <tableStyleInfo name="TableStyleMedium2" showFirstColumn="0" showLastColumn="0" showRowStripes="1" showColumnStripes="0"/>
</table>
</file>

<file path=xl/tables/table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8" xr:uid="{07571E5D-3663-4C06-8BDD-F336026B72A2}" name="Tabla6626" displayName="Tabla6626" ref="D24:E26" tableType="xml" totalsRowShown="0" headerRowDxfId="462" dataDxfId="461">
  <autoFilter ref="D24:E26" xr:uid="{07571E5D-3663-4C06-8BDD-F336026B72A2}"/>
  <tableColumns count="2">
    <tableColumn id="1" xr3:uid="{91BA8B54-195E-4578-B7FC-C3208C8E7C7A}" uniqueName="ns1:content" name="Description" dataDxfId="460">
      <xmlColumnPr mapId="4" xpath="/ns1:digitalCalibrationCertificate/ns1:measurementResults/ns1:measurementResult/ns1:usedMethods/ns1:usedMethodDevelop/ns1:description/ns1:content" xmlDataType="string"/>
    </tableColumn>
    <tableColumn id="2" xr3:uid="{FD7F0071-971A-436B-8EC2-10D5DB7C7B7C}" uniqueName="lang" name="lang" dataDxfId="459">
      <xmlColumnPr mapId="4" xpath="/ns1:digitalCalibrationCertificate/ns1:measurementResults/ns1:measurementResult/ns1:usedMethods/ns1:usedMethodDevelop/ns1:description/ns1:content/@lang" xmlDataType="string"/>
    </tableColumn>
  </tableColumns>
  <tableStyleInfo name="TableStyleMedium9" showFirstColumn="0" showLastColumn="0" showRowStripes="1" showColumnStripes="0"/>
</table>
</file>

<file path=xl/tables/table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 xr:uid="{B5D6B11B-2A7F-41D7-8E36-65DAC4A1145D}" name="Tabla652524" displayName="Tabla652524" ref="J17:K19" tableType="xml" totalsRowShown="0" headerRowDxfId="458" dataDxfId="457">
  <autoFilter ref="J17:K19" xr:uid="{B5D6B11B-2A7F-41D7-8E36-65DAC4A1145D}"/>
  <tableColumns count="2">
    <tableColumn id="1" xr3:uid="{9CCC995D-3F15-46B1-BF69-CCAB2284311D}" uniqueName="ns1:content" name="Nombre" dataDxfId="456">
      <xmlColumnPr mapId="4" xpath="/ns1:digitalCalibrationCertificate/ns1:measurementResults/ns1:measurementResult/ns1:usedMethods/ns1:usedMethodGUM/ns1:name/ns1:content" xmlDataType="string"/>
    </tableColumn>
    <tableColumn id="2" xr3:uid="{0144160B-B9BB-4515-BDDA-D06F1D58CEAF}" uniqueName="lang" name="lang" dataDxfId="455">
      <xmlColumnPr mapId="4" xpath="/ns1:digitalCalibrationCertificate/ns1:measurementResults/ns1:measurementResult/ns1:usedMethods/ns1:usedMethodGUM/ns1:name/ns1:content/@lang" xmlDataType="string"/>
    </tableColumn>
  </tableColumns>
  <tableStyleInfo name="TableStyleMedium2" showFirstColumn="0" showLastColumn="0" showRowStripes="1" showColumnStripes="0"/>
</table>
</file>

<file path=xl/tables/table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4" xr:uid="{533D5D49-89E7-4EF9-9BC9-CD70A76CCB82}" name="Tabla662625" displayName="Tabla662625" ref="J24:K26" tableType="xml" totalsRowShown="0" headerRowDxfId="454" dataDxfId="453">
  <autoFilter ref="J24:K26" xr:uid="{533D5D49-89E7-4EF9-9BC9-CD70A76CCB82}"/>
  <tableColumns count="2">
    <tableColumn id="1" xr3:uid="{C5CED9B5-0F88-4C53-AE98-668C89A23475}" uniqueName="ns1:content" name="Description" dataDxfId="452">
      <xmlColumnPr mapId="4" xpath="/ns1:digitalCalibrationCertificate/ns1:measurementResults/ns1:measurementResult/ns1:usedMethods/ns1:usedMethodGUM/ns1:description/ns1:content" xmlDataType="string"/>
    </tableColumn>
    <tableColumn id="2" xr3:uid="{E31B09E8-BC40-4F0F-8E2B-D0E4CB9A1C6C}" uniqueName="lang" name="lang" dataDxfId="451">
      <xmlColumnPr mapId="4" xpath="/ns1:digitalCalibrationCertificate/ns1:measurementResults/ns1:measurementResult/ns1:usedMethods/ns1:usedMethodGUM/ns1:description/ns1:content/@lang" xmlDataType="string"/>
    </tableColumn>
  </tableColumns>
  <tableStyleInfo name="TableStyleMedium9" showFirstColumn="0" showLastColumn="0" showRowStripes="1" showColumnStripes="0"/>
</table>
</file>

<file path=xl/tables/table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5" xr:uid="{00000000-000C-0000-FFFF-FFFF0E000000}" name="Tabla70" displayName="Tabla70" ref="C12:D14" totalsRowShown="0" headerRowDxfId="450" dataDxfId="449" tableBorderDxfId="448">
  <autoFilter ref="C12:D14" xr:uid="{00000000-0009-0000-0100-00007D000000}"/>
  <tableColumns count="2">
    <tableColumn id="1" xr3:uid="{00000000-0010-0000-0E00-000001000000}" name="Name" dataDxfId="447"/>
    <tableColumn id="2" xr3:uid="{00000000-0010-0000-0E00-000002000000}" name="Lang" dataDxfId="446"/>
  </tableColumns>
  <tableStyleInfo name="TableStyleMedium2" showFirstColumn="0" showLastColumn="0" showRowStripes="1" showColumnStripes="0"/>
</table>
</file>

<file path=xl/tables/table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6" xr:uid="{00000000-000C-0000-FFFF-FFFF0F000000}" name="Tabla652529" displayName="Tabla652529" ref="C24:D26" tableType="xml" totalsRowShown="0" dataDxfId="445">
  <autoFilter ref="C24:D26" xr:uid="{00000000-0009-0000-0100-00007E000000}"/>
  <tableColumns count="2">
    <tableColumn id="1" xr3:uid="{00000000-0010-0000-0F00-000001000000}" uniqueName="ns1:content" name="Name" dataDxfId="444">
      <xmlColumnPr mapId="4" xpath="/ns1:digitalCalibrationCertificate/ns1:measurementResults/ns1:measurementResult/ns1:measuringEquipments/ns1:name/ns1:content" xmlDataType="string"/>
    </tableColumn>
    <tableColumn id="2" xr3:uid="{00000000-0010-0000-0F00-000002000000}" uniqueName="lang" name="Lang" dataDxfId="443">
      <xmlColumnPr mapId="4" xpath="/ns1:digitalCalibrationCertificate/ns1:measurementResults/ns1:measurementResult/ns1:measuringEquipments/ns1:name/ns1:content/@lang" xmlDataType="string"/>
    </tableColumn>
  </tableColumns>
  <tableStyleInfo name="TableStyleMedium2" showFirstColumn="0" showLastColumn="0" showRowStripes="1" showColumnStripes="0"/>
</table>
</file>

<file path=xl/tables/table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7" xr:uid="{00000000-000C-0000-FFFF-FFFF10000000}" name="Tabla6630" displayName="Tabla6630" ref="K12:L14" totalsRowShown="0" headerRowDxfId="442" dataDxfId="441">
  <autoFilter ref="K12:L14" xr:uid="{00000000-0009-0000-0100-00007F000000}"/>
  <tableColumns count="2">
    <tableColumn id="1" xr3:uid="{00000000-0010-0000-1000-000001000000}" name="Description" dataDxfId="440"/>
    <tableColumn id="2" xr3:uid="{00000000-0010-0000-1000-000002000000}" name="Lang" dataDxfId="439"/>
  </tableColumns>
  <tableStyleInfo name="TableStyleMedium9" showFirstColumn="0" showLastColumn="0" showRowStripes="1" showColumnStripes="0"/>
</table>
</file>

<file path=xl/tables/table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0" xr:uid="{00000000-000C-0000-FFFF-FFFF13000000}" name="Tabla3988" displayName="Tabla3988" ref="K27:L29" totalsRowShown="0" headerRowDxfId="438" dataDxfId="437">
  <autoFilter ref="K27:L29" xr:uid="{00000000-0009-0000-0100-000082000000}"/>
  <tableColumns count="2">
    <tableColumn id="1" xr3:uid="{00000000-0010-0000-1300-000001000000}" name="Description" dataDxfId="436"/>
    <tableColumn id="2" xr3:uid="{00000000-0010-0000-1300-000002000000}" name="Lang" dataDxfId="435"/>
  </tableColumns>
  <tableStyleInfo name="TableStyleMedium18" showFirstColumn="0" showLastColumn="0" showRowStripes="1" showColumnStripes="0"/>
</table>
</file>

<file path=xl/tables/table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1" xr:uid="{00000000-000C-0000-FFFF-FFFF14000000}" name="Tabla6787" displayName="Tabla6787" ref="N27:P29" totalsRowShown="0" headerRowDxfId="434" dataDxfId="433">
  <autoFilter ref="N27:P29" xr:uid="{00000000-0009-0000-0100-000083000000}">
    <filterColumn colId="0" hiddenButton="1"/>
    <filterColumn colId="1" hiddenButton="1"/>
    <filterColumn colId="2" hiddenButton="1"/>
  </autoFilter>
  <tableColumns count="3">
    <tableColumn id="1" xr3:uid="{00000000-0010-0000-1400-000001000000}" name="Name" dataDxfId="432"/>
    <tableColumn id="2" xr3:uid="{00000000-0010-0000-1400-000002000000}" name="Value" dataDxfId="431"/>
    <tableColumn id="3" xr3:uid="{00000000-0010-0000-1400-000003000000}" name="Unit (Platinum)" dataDxfId="430">
      <calculatedColumnFormula array="1">_xlfn.XLOOKUP($S28,INDIRECT($R28),INDIRECT($R28&amp;"_Platino"),"No Existe")</calculatedColumnFormula>
    </tableColumn>
  </tableColumns>
  <tableStyleInfo name="TableStyleMedium20" showFirstColumn="0" showLastColumn="0" showRowStripes="1" showColumnStripes="0"/>
</table>
</file>

<file path=xl/tables/table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2" xr:uid="{00000000-000C-0000-FFFF-FFFF15000000}" name="Tabla65252940" displayName="Tabla65252940" ref="C48:N49" totalsRowShown="0" headerRowDxfId="429" dataDxfId="428">
  <autoFilter ref="C48:N49" xr:uid="{00000000-0009-0000-0100-000084000000}"/>
  <tableColumns count="12">
    <tableColumn id="1" xr3:uid="{00000000-0010-0000-1500-000001000000}" name="Nombre" dataDxfId="427"/>
    <tableColumn id="2" xr3:uid="{00000000-0010-0000-1500-000002000000}" name="Idioma" dataDxfId="426"/>
    <tableColumn id="3" xr3:uid="{A44EF2E5-E168-40E9-83A8-273984E6172A}" name="Reference" dataDxfId="425"/>
    <tableColumn id="4" xr3:uid="{A3D96CEB-188F-491D-99AB-C6BC438B9F6C}" name="ClassID" dataDxfId="424"/>
    <tableColumn id="5" xr3:uid="{8A88D11B-E279-4314-B9BA-B01892FD4A6F}" name="Referral" dataDxfId="423"/>
    <tableColumn id="6" xr3:uid="{2D022222-3421-4110-8201-0F95A7B21F78}" name="lang" dataDxfId="422"/>
    <tableColumn id="7" xr3:uid="{F0AAA1CD-39F5-46FA-8307-3EAF9D7D4679}" name="ReferralID" dataDxfId="421"/>
    <tableColumn id="8" xr3:uid="{28B9BB32-A30C-4509-9FDF-38D6B8E735B6}" name="Procedure" dataDxfId="420"/>
    <tableColumn id="9" xr3:uid="{029CA685-5925-4387-A8A1-85DDCA419DD8}" name="Value" dataDxfId="419"/>
    <tableColumn id="10" xr3:uid="{DD747B4E-F29F-4289-A7A1-A8B6745D52EC}" name="Marca" dataDxfId="418"/>
    <tableColumn id="11" xr3:uid="{89638151-BFAE-4DA4-AED3-8AF5B571B3DA}" name="ns1:contentOnce3" dataDxfId="417"/>
    <tableColumn id="13" xr3:uid="{8F9B6F4E-A598-40FA-B73E-96F0F54D13C3}" name="Model" dataDxfId="416"/>
  </tableColumns>
  <tableStyleInfo name="TableStyleMedium2" showFirstColumn="0" showLastColumn="0" showRowStripes="1" showColumnStripes="0"/>
</table>
</file>

<file path=xl/tables/table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7" xr:uid="{00000000-000C-0000-FFFF-FFFF1A000000}" name="Tabla65252950" displayName="Tabla65252950" ref="C72:D74" totalsRowShown="0" headerRowDxfId="415" dataDxfId="414">
  <autoFilter ref="C72:D74" xr:uid="{00000000-0009-0000-0100-000089000000}"/>
  <tableColumns count="2">
    <tableColumn id="1" xr3:uid="{00000000-0010-0000-1A00-000001000000}" name="Name" dataDxfId="413"/>
    <tableColumn id="2" xr3:uid="{00000000-0010-0000-1A00-000002000000}" name="Lang" dataDxfId="412"/>
  </tableColumns>
  <tableStyleInfo name="TableStyleMedium2" showFirstColumn="0" showLastColumn="0" showRowStripes="1" showColumnStripes="0"/>
</table>
</file>

<file path=xl/tables/table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8" xr:uid="{00000000-000C-0000-FFFF-FFFF1B000000}" name="Tabla388151" displayName="Tabla388151" ref="C83:D85" totalsRowShown="0" headerRowDxfId="411" dataDxfId="410">
  <autoFilter ref="C83:D85" xr:uid="{00000000-0009-0000-0100-00008A000000}"/>
  <tableColumns count="2">
    <tableColumn id="1" xr3:uid="{00000000-0010-0000-1B00-000001000000}" name="Name" dataDxfId="409"/>
    <tableColumn id="2" xr3:uid="{00000000-0010-0000-1B00-000002000000}" name="Lang" dataDxfId="408"/>
  </tableColumns>
  <tableStyleInfo name="TableStyleMedium4" showFirstColumn="0" showLastColumn="0" showRowStripes="1" showColumnStripes="0"/>
</table>
</file>

<file path=xl/tables/table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39" xr:uid="{00000000-000C-0000-FFFF-FFFF1C000000}" name="Tabla1152" displayName="Tabla1152" ref="C78:D80" totalsRowShown="0" headerRowDxfId="407" dataDxfId="406" tableBorderDxfId="405">
  <autoFilter ref="C78:D80" xr:uid="{00000000-0009-0000-0100-00008B000000}"/>
  <tableColumns count="2">
    <tableColumn id="1" xr3:uid="{00000000-0010-0000-1C00-000001000000}" name="Name" dataDxfId="404"/>
    <tableColumn id="2" xr3:uid="{00000000-0010-0000-1C00-000002000000}" name="Lang" dataDxfId="403"/>
  </tableColumns>
  <tableStyleInfo name="TableStyleMedium4" showFirstColumn="0" showLastColumn="0" showRowStripes="1" showColumnStripes="0"/>
</table>
</file>

<file path=xl/tables/table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0" xr:uid="{00000000-000C-0000-FFFF-FFFF1D000000}" name="Tabla398853" displayName="Tabla398853" ref="K75:L77" totalsRowShown="0" headerRowDxfId="402" dataDxfId="401">
  <autoFilter ref="K75:L77" xr:uid="{00000000-0009-0000-0100-00008C000000}"/>
  <tableColumns count="2">
    <tableColumn id="1" xr3:uid="{00000000-0010-0000-1D00-000001000000}" name="Description" dataDxfId="400"/>
    <tableColumn id="2" xr3:uid="{00000000-0010-0000-1D00-000002000000}" name="Idioma" dataDxfId="399"/>
  </tableColumns>
  <tableStyleInfo name="TableStyleMedium18" showFirstColumn="0" showLastColumn="0" showRowStripes="1" showColumnStripes="0"/>
</table>
</file>

<file path=xl/tables/table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1" xr:uid="{00000000-000C-0000-FFFF-FFFF1E000000}" name="Tabla678754" displayName="Tabla678754" ref="N75:P77" totalsRowShown="0" headerRowDxfId="398" dataDxfId="396" headerRowBorderDxfId="397" tableBorderDxfId="395" totalsRowBorderDxfId="394">
  <autoFilter ref="N75:P77" xr:uid="{00000000-0009-0000-0100-00008D000000}"/>
  <tableColumns count="3">
    <tableColumn id="1" xr3:uid="{00000000-0010-0000-1E00-000001000000}" name="Label" dataDxfId="393"/>
    <tableColumn id="2" xr3:uid="{00000000-0010-0000-1E00-000002000000}" name="Value" dataDxfId="392"/>
    <tableColumn id="3" xr3:uid="{00000000-0010-0000-1E00-000003000000}" name="Unit" dataDxfId="391">
      <calculatedColumnFormula array="1">_xlfn.XLOOKUP($S76,INDIRECT($R76),INDIRECT($R76&amp;"_Platino"),"No Existe")</calculatedColumnFormula>
    </tableColumn>
  </tableColumns>
  <tableStyleInfo name="TableStyleMedium2" showFirstColumn="0" showLastColumn="0" showRowStripes="1" showColumnStripes="0"/>
</table>
</file>

<file path=xl/tables/table1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2" xr:uid="{00000000-000C-0000-FFFF-FFFF1F000000}" name="Tabla65252960" displayName="Tabla65252960" ref="C95:D97" totalsRowShown="0" dataDxfId="390">
  <autoFilter ref="C95:D97" xr:uid="{00000000-0009-0000-0100-00008E000000}"/>
  <tableColumns count="2">
    <tableColumn id="1" xr3:uid="{00000000-0010-0000-1F00-000001000000}" name="Name" dataDxfId="389"/>
    <tableColumn id="2" xr3:uid="{00000000-0010-0000-1F00-000002000000}" name="Lang" dataDxfId="388"/>
  </tableColumns>
  <tableStyleInfo name="TableStyleMedium2" showFirstColumn="0" showLastColumn="0" showRowStripes="1" showColumnStripes="0"/>
</table>
</file>

<file path=xl/tables/table1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3" xr:uid="{00000000-000C-0000-FFFF-FFFF20000000}" name="Tabla388161" displayName="Tabla388161" ref="C106:D108" totalsRowShown="0" dataDxfId="387">
  <autoFilter ref="C106:D108" xr:uid="{00000000-0009-0000-0100-00008F000000}"/>
  <tableColumns count="2">
    <tableColumn id="1" xr3:uid="{00000000-0010-0000-2000-000001000000}" name="Name" dataDxfId="386"/>
    <tableColumn id="2" xr3:uid="{00000000-0010-0000-2000-000002000000}" name="Lang" dataDxfId="385"/>
  </tableColumns>
  <tableStyleInfo name="TableStyleMedium4" showFirstColumn="0" showLastColumn="0" showRowStripes="1" showColumnStripes="0"/>
</table>
</file>

<file path=xl/tables/table2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4" xr:uid="{00000000-000C-0000-FFFF-FFFF21000000}" name="Tabla1162" displayName="Tabla1162" ref="C101:D103" totalsRowShown="0" headerRowDxfId="384" dataDxfId="383" tableBorderDxfId="382">
  <autoFilter ref="C101:D103" xr:uid="{00000000-0009-0000-0100-000090000000}"/>
  <tableColumns count="2">
    <tableColumn id="1" xr3:uid="{00000000-0010-0000-2100-000001000000}" name="Name" dataDxfId="381"/>
    <tableColumn id="2" xr3:uid="{00000000-0010-0000-2100-000002000000}" name="Lang" dataDxfId="380"/>
  </tableColumns>
  <tableStyleInfo name="TableStyleMedium4" showFirstColumn="0" showLastColumn="0" showRowStripes="1" showColumnStripes="0"/>
</table>
</file>

<file path=xl/tables/table2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5" xr:uid="{00000000-000C-0000-FFFF-FFFF22000000}" name="Tabla398863" displayName="Tabla398863" ref="K98:L100" totalsRowShown="0" headerRowDxfId="379" dataDxfId="378" headerRowCellStyle="Normal" dataCellStyle="Normal">
  <autoFilter ref="K98:L100" xr:uid="{00000000-0009-0000-0100-000091000000}"/>
  <tableColumns count="2">
    <tableColumn id="1" xr3:uid="{00000000-0010-0000-2200-000001000000}" name="Description" dataDxfId="377" dataCellStyle="Normal"/>
    <tableColumn id="2" xr3:uid="{00000000-0010-0000-2200-000002000000}" name="Idioma" dataDxfId="376" dataCellStyle="Normal"/>
  </tableColumns>
  <tableStyleInfo name="TableStyleMedium18" showFirstColumn="0" showLastColumn="0" showRowStripes="1" showColumnStripes="0"/>
</table>
</file>

<file path=xl/tables/table2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6" xr:uid="{00000000-000C-0000-FFFF-FFFF23000000}" name="Tabla678764" displayName="Tabla678764" ref="N98:P100" totalsRowShown="0" headerRowDxfId="375" dataDxfId="373" headerRowBorderDxfId="374" tableBorderDxfId="372" totalsRowBorderDxfId="371">
  <autoFilter ref="N98:P100" xr:uid="{00000000-0009-0000-0100-000092000000}"/>
  <tableColumns count="3">
    <tableColumn id="1" xr3:uid="{00000000-0010-0000-2300-000001000000}" name="Label" dataDxfId="370"/>
    <tableColumn id="2" xr3:uid="{00000000-0010-0000-2300-000002000000}" name="Value" dataDxfId="369"/>
    <tableColumn id="3" xr3:uid="{00000000-0010-0000-2300-000003000000}" name="Unit" dataDxfId="368">
      <calculatedColumnFormula array="1">_xlfn.XLOOKUP($S99,INDIRECT($R99),INDIRECT($R99&amp;"_Platino"),"No Existe")</calculatedColumnFormula>
    </tableColumn>
  </tableColumns>
  <tableStyleInfo name="TableStyleMedium2" showFirstColumn="0" showLastColumn="0" showRowStripes="1" showColumnStripes="0"/>
</table>
</file>

<file path=xl/tables/table2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7" xr:uid="{00000000-000C-0000-FFFF-FFFF24000000}" name="Tabla65252965" displayName="Tabla65252965" ref="C119:D121" totalsRowShown="0" dataDxfId="367">
  <autoFilter ref="C119:D121" xr:uid="{00000000-0009-0000-0100-000093000000}"/>
  <tableColumns count="2">
    <tableColumn id="1" xr3:uid="{00000000-0010-0000-2400-000001000000}" name="Name" dataDxfId="366"/>
    <tableColumn id="2" xr3:uid="{00000000-0010-0000-2400-000002000000}" name="Lang" dataDxfId="365"/>
  </tableColumns>
  <tableStyleInfo name="TableStyleMedium2" showFirstColumn="0" showLastColumn="0" showRowStripes="1" showColumnStripes="0"/>
</table>
</file>

<file path=xl/tables/table2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8" xr:uid="{00000000-000C-0000-FFFF-FFFF25000000}" name="Tabla388166" displayName="Tabla388166" ref="C130:D132" totalsRowShown="0" dataDxfId="364">
  <autoFilter ref="C130:D132" xr:uid="{00000000-0009-0000-0100-000094000000}"/>
  <tableColumns count="2">
    <tableColumn id="1" xr3:uid="{00000000-0010-0000-2500-000001000000}" name="Name" dataDxfId="363"/>
    <tableColumn id="2" xr3:uid="{00000000-0010-0000-2500-000002000000}" name="Lang" dataDxfId="362"/>
  </tableColumns>
  <tableStyleInfo name="TableStyleMedium4" showFirstColumn="0" showLastColumn="0" showRowStripes="1" showColumnStripes="0"/>
</table>
</file>

<file path=xl/tables/table2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9" xr:uid="{00000000-000C-0000-FFFF-FFFF26000000}" name="Tabla1167" displayName="Tabla1167" ref="C125:D127" totalsRowShown="0" dataDxfId="361" tableBorderDxfId="360">
  <autoFilter ref="C125:D127" xr:uid="{00000000-0009-0000-0100-000095000000}"/>
  <tableColumns count="2">
    <tableColumn id="1" xr3:uid="{00000000-0010-0000-2600-000001000000}" name="Name" dataDxfId="359"/>
    <tableColumn id="2" xr3:uid="{00000000-0010-0000-2600-000002000000}" name="Lang" dataDxfId="358"/>
  </tableColumns>
  <tableStyleInfo name="TableStyleMedium4" showFirstColumn="0" showLastColumn="0" showRowStripes="1" showColumnStripes="0"/>
</table>
</file>

<file path=xl/tables/table2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0" xr:uid="{00000000-000C-0000-FFFF-FFFF27000000}" name="Tabla398868" displayName="Tabla398868" ref="K122:L124" totalsRowShown="0" headerRowDxfId="357" dataDxfId="356">
  <autoFilter ref="K122:L124" xr:uid="{00000000-0009-0000-0100-000096000000}"/>
  <tableColumns count="2">
    <tableColumn id="1" xr3:uid="{00000000-0010-0000-2700-000001000000}" name="Description" dataDxfId="355"/>
    <tableColumn id="2" xr3:uid="{00000000-0010-0000-2700-000002000000}" name="Idioma" dataDxfId="354"/>
  </tableColumns>
  <tableStyleInfo name="TableStyleMedium18" showFirstColumn="0" showLastColumn="0" showRowStripes="1" showColumnStripes="0"/>
</table>
</file>

<file path=xl/tables/table2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1" xr:uid="{00000000-000C-0000-FFFF-FFFF28000000}" name="Tabla678769" displayName="Tabla678769" ref="N122:P124" totalsRowShown="0" headerRowDxfId="353" dataDxfId="351" headerRowBorderDxfId="352" tableBorderDxfId="350" totalsRowBorderDxfId="349">
  <autoFilter ref="N122:P124" xr:uid="{00000000-0009-0000-0100-000097000000}"/>
  <tableColumns count="3">
    <tableColumn id="1" xr3:uid="{00000000-0010-0000-2800-000001000000}" name="Label" dataDxfId="348"/>
    <tableColumn id="2" xr3:uid="{00000000-0010-0000-2800-000002000000}" name="Value" dataDxfId="347"/>
    <tableColumn id="3" xr3:uid="{00000000-0010-0000-2800-000003000000}" name="Unit" dataDxfId="346">
      <calculatedColumnFormula array="1">_xlfn.XLOOKUP($S123,INDIRECT($R123),INDIRECT($R123&amp;"_Platino"),"No Existe")</calculatedColumnFormula>
    </tableColumn>
  </tableColumns>
  <tableStyleInfo name="TableStyleMedium2" showFirstColumn="0" showLastColumn="0" showRowStripes="1" showColumnStripes="0"/>
</table>
</file>

<file path=xl/tables/table2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3" xr:uid="{00000000-000C-0000-FFFF-FFFF2A000000}" name="Tabla768485" displayName="Tabla768485" ref="R75:S77" totalsRowShown="0" tableBorderDxfId="345">
  <autoFilter ref="R75:S77" xr:uid="{00000000-0009-0000-0100-000099000000}"/>
  <tableColumns count="2">
    <tableColumn id="1" xr3:uid="{00000000-0010-0000-2A00-000001000000}" name="Type" dataDxfId="344"/>
    <tableColumn id="2" xr3:uid="{00000000-0010-0000-2A00-000002000000}" name="Unit" dataDxfId="343"/>
  </tableColumns>
  <tableStyleInfo name="TableStyleMedium20" showFirstColumn="0" showLastColumn="0" showRowStripes="1" showColumnStripes="0"/>
</table>
</file>

<file path=xl/tables/table2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4" xr:uid="{00000000-000C-0000-FFFF-FFFF2B000000}" name="Tabla76848586" displayName="Tabla76848586" ref="R98:S100" totalsRowShown="0" tableBorderDxfId="342">
  <autoFilter ref="R98:S100" xr:uid="{00000000-0009-0000-0100-00009A000000}"/>
  <tableColumns count="2">
    <tableColumn id="1" xr3:uid="{00000000-0010-0000-2B00-000001000000}" name="Type" dataDxfId="341"/>
    <tableColumn id="2" xr3:uid="{00000000-0010-0000-2B00-000002000000}" name="Unit" dataDxfId="340"/>
  </tableColumns>
  <tableStyleInfo name="TableStyleMedium20" showFirstColumn="0" showLastColumn="0" showRowStripes="1" showColumnStripes="0"/>
</table>
</file>

<file path=xl/tables/table3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5" xr:uid="{00000000-000C-0000-FFFF-FFFF2C000000}" name="Tabla7684858688" displayName="Tabla7684858688" ref="R122:S124" totalsRowShown="0" tableBorderDxfId="339">
  <autoFilter ref="R122:S124" xr:uid="{00000000-0009-0000-0100-00009B000000}"/>
  <tableColumns count="2">
    <tableColumn id="1" xr3:uid="{00000000-0010-0000-2C00-000001000000}" name="Type" dataDxfId="338"/>
    <tableColumn id="2" xr3:uid="{00000000-0010-0000-2C00-000002000000}" name="Unit" dataDxfId="337"/>
  </tableColumns>
  <tableStyleInfo name="TableStyleMedium20" showFirstColumn="0" showLastColumn="0" showRowStripes="1" showColumnStripes="0"/>
</table>
</file>

<file path=xl/tables/table3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6" xr:uid="{00000000-000C-0000-FFFF-FFFF2D000000}" name="Tabla76" displayName="Tabla76" ref="R27:S29" totalsRowShown="0" headerRowDxfId="336" dataDxfId="335">
  <autoFilter ref="R27:S29" xr:uid="{00000000-0009-0000-0100-00009C000000}"/>
  <tableColumns count="2">
    <tableColumn id="1" xr3:uid="{00000000-0010-0000-2D00-000001000000}" name="Type" dataDxfId="334"/>
    <tableColumn id="2" xr3:uid="{00000000-0010-0000-2D00-000002000000}" name="Unit" dataDxfId="333"/>
  </tableColumns>
  <tableStyleInfo name="TableStyleMedium20" showFirstColumn="0" showLastColumn="0" showRowStripes="1" showColumnStripes="0"/>
</table>
</file>

<file path=xl/tables/table3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4" xr:uid="{00000000-000C-0000-FFFF-FFFF2E000000}" name="Tabla7915" displayName="Tabla7915" ref="K37:L38" totalsRowShown="0" headerRowDxfId="332" dataDxfId="331">
  <autoFilter ref="K37:L38" xr:uid="{00000000-0009-0000-0100-00000E000000}"/>
  <tableColumns count="2">
    <tableColumn id="1" xr3:uid="{00000000-0010-0000-2E00-000001000000}" name="referral" dataDxfId="330"/>
    <tableColumn id="2" xr3:uid="{00000000-0010-0000-2E00-000002000000}" name="Idioma" dataDxfId="329"/>
  </tableColumns>
  <tableStyleInfo name="TableStyleMedium2" showFirstColumn="0" showLastColumn="0" showRowStripes="1" showColumnStripes="0"/>
</table>
</file>

<file path=xl/tables/table3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 xr:uid="{00000000-000C-0000-FFFF-FFFF2F000000}" name="Tabla8116" displayName="Tabla8116" ref="K41:L42" totalsRowShown="0" headerRowDxfId="328" dataDxfId="327">
  <autoFilter ref="K41:L42" xr:uid="{00000000-0009-0000-0100-00000F000000}"/>
  <tableColumns count="2">
    <tableColumn id="1" xr3:uid="{00000000-0010-0000-2F00-000001000000}" name="referral" dataDxfId="326"/>
    <tableColumn id="2" xr3:uid="{00000000-0010-0000-2F00-000002000000}" name="Idioma" dataDxfId="325"/>
  </tableColumns>
  <tableStyleInfo name="TableStyleMedium2" showFirstColumn="0" showLastColumn="0" showRowStripes="1" showColumnStripes="0"/>
</table>
</file>

<file path=xl/tables/table3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8" xr:uid="{00000000-000C-0000-FFFF-FFFF32000000}" name="Tabla7929" displayName="Tabla7929" ref="K85:L86" totalsRowShown="0" headerRowDxfId="324" dataDxfId="323">
  <autoFilter ref="K85:L86" xr:uid="{00000000-0009-0000-0100-00001C000000}"/>
  <tableColumns count="2">
    <tableColumn id="1" xr3:uid="{00000000-0010-0000-3200-000001000000}" name="referral" dataDxfId="322"/>
    <tableColumn id="2" xr3:uid="{00000000-0010-0000-3200-000002000000}" name="Idioma" dataDxfId="321"/>
  </tableColumns>
  <tableStyleInfo name="TableStyleMedium2" showFirstColumn="0" showLastColumn="0" showRowStripes="1" showColumnStripes="0"/>
</table>
</file>

<file path=xl/tables/table3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9" xr:uid="{00000000-000C-0000-FFFF-FFFF33000000}" name="Tabla8130" displayName="Tabla8130" ref="K89:L90" totalsRowShown="0" headerRowDxfId="320" dataDxfId="319">
  <autoFilter ref="K89:L90" xr:uid="{00000000-0009-0000-0100-00001D000000}"/>
  <tableColumns count="2">
    <tableColumn id="1" xr3:uid="{00000000-0010-0000-3300-000001000000}" name="referral" dataDxfId="318"/>
    <tableColumn id="2" xr3:uid="{00000000-0010-0000-3300-000002000000}" name="Idioma" dataDxfId="317"/>
  </tableColumns>
  <tableStyleInfo name="TableStyleMedium2" showFirstColumn="0" showLastColumn="0" showRowStripes="1" showColumnStripes="0"/>
</table>
</file>

<file path=xl/tables/table3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1" xr:uid="{00000000-000C-0000-FFFF-FFFF34000000}" name="Tabla7932" displayName="Tabla7932" ref="K108:L109" totalsRowShown="0" headerRowDxfId="316" dataDxfId="315">
  <autoFilter ref="K108:L109" xr:uid="{00000000-0009-0000-0100-00001F000000}"/>
  <tableColumns count="2">
    <tableColumn id="1" xr3:uid="{00000000-0010-0000-3400-000001000000}" name="referral" dataDxfId="314"/>
    <tableColumn id="2" xr3:uid="{00000000-0010-0000-3400-000002000000}" name="Idioma" dataDxfId="313"/>
  </tableColumns>
  <tableStyleInfo name="TableStyleMedium2" showFirstColumn="0" showLastColumn="0" showRowStripes="1" showColumnStripes="0"/>
</table>
</file>

<file path=xl/tables/table3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2" xr:uid="{00000000-000C-0000-FFFF-FFFF35000000}" name="Tabla8133" displayName="Tabla8133" ref="K112:L113" totalsRowShown="0" headerRowDxfId="312" dataDxfId="311">
  <autoFilter ref="K112:L113" xr:uid="{00000000-0009-0000-0100-000020000000}"/>
  <tableColumns count="2">
    <tableColumn id="1" xr3:uid="{00000000-0010-0000-3500-000001000000}" name="referral" dataDxfId="310"/>
    <tableColumn id="2" xr3:uid="{00000000-0010-0000-3500-000002000000}" name="Idioma" dataDxfId="309"/>
  </tableColumns>
  <tableStyleInfo name="TableStyleMedium2" showFirstColumn="0" showLastColumn="0" showRowStripes="1" showColumnStripes="0"/>
</table>
</file>

<file path=xl/tables/table3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3" xr:uid="{00000000-000C-0000-FFFF-FFFF36000000}" name="Tabla7934" displayName="Tabla7934" ref="K132:L133" totalsRowShown="0" headerRowDxfId="308" dataDxfId="307">
  <autoFilter ref="K132:L133" xr:uid="{00000000-0009-0000-0100-000021000000}"/>
  <tableColumns count="2">
    <tableColumn id="1" xr3:uid="{00000000-0010-0000-3600-000001000000}" name="referral" dataDxfId="306"/>
    <tableColumn id="2" xr3:uid="{00000000-0010-0000-3600-000002000000}" name="Idioma" dataDxfId="305"/>
  </tableColumns>
  <tableStyleInfo name="TableStyleMedium2" showFirstColumn="0" showLastColumn="0" showRowStripes="1" showColumnStripes="0"/>
</table>
</file>

<file path=xl/tables/table3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4" xr:uid="{00000000-000C-0000-FFFF-FFFF37000000}" name="Tabla8135" displayName="Tabla8135" ref="K136:L137" totalsRowShown="0" headerRowDxfId="304" dataDxfId="303">
  <autoFilter ref="K136:L137" xr:uid="{00000000-0009-0000-0100-000022000000}"/>
  <tableColumns count="2">
    <tableColumn id="1" xr3:uid="{00000000-0010-0000-3700-000001000000}" name="referral" dataDxfId="302"/>
    <tableColumn id="2" xr3:uid="{00000000-0010-0000-3700-000002000000}" name="Idioma" dataDxfId="301"/>
  </tableColumns>
  <tableStyleInfo name="TableStyleMedium2" showFirstColumn="0" showLastColumn="0" showRowStripes="1" showColumnStripes="0"/>
</table>
</file>

<file path=xl/tables/table4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38000000}" name="Tabla7935" displayName="Tabla7935" ref="K17:L18" totalsRowShown="0" headerRowDxfId="300" dataDxfId="299">
  <autoFilter ref="K17:L18" xr:uid="{00000000-0009-0000-0100-000003000000}"/>
  <tableColumns count="2">
    <tableColumn id="1" xr3:uid="{00000000-0010-0000-3800-000001000000}" name="Name" dataDxfId="298"/>
    <tableColumn id="2" xr3:uid="{00000000-0010-0000-3800-000002000000}" name="Lang" dataDxfId="297"/>
  </tableColumns>
  <tableStyleInfo name="TableStyleMedium2" showFirstColumn="0" showLastColumn="0" showRowStripes="1" showColumnStripes="0"/>
</table>
</file>

<file path=xl/tables/table4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2" xr:uid="{9904DBFF-3A89-4C66-8BDA-FAE59641FAE1}" name="Tabla65252965163" displayName="Tabla65252965163" ref="C146:D148" totalsRowShown="0" dataDxfId="296">
  <autoFilter ref="C146:D148" xr:uid="{9904DBFF-3A89-4C66-8BDA-FAE59641FAE1}"/>
  <tableColumns count="2">
    <tableColumn id="1" xr3:uid="{3E785DC1-8D8B-4403-BEA4-E1CA433F3ACD}" name="Name" dataDxfId="295"/>
    <tableColumn id="2" xr3:uid="{45E65440-6645-4064-84D6-DA6D4878E850}" name="Lang" dataDxfId="294"/>
  </tableColumns>
  <tableStyleInfo name="TableStyleMedium2" showFirstColumn="0" showLastColumn="0" showRowStripes="1" showColumnStripes="0"/>
</table>
</file>

<file path=xl/tables/table4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92" xr:uid="{616F5345-EFA0-4D7E-A9E9-DEF60A6F36C6}" name="Tabla388166193" displayName="Tabla388166193" ref="C157:D159" totalsRowShown="0" dataDxfId="293">
  <autoFilter ref="C157:D159" xr:uid="{616F5345-EFA0-4D7E-A9E9-DEF60A6F36C6}"/>
  <tableColumns count="2">
    <tableColumn id="1" xr3:uid="{7CCD9ACF-E72C-491D-961F-263B7915C31F}" name="Name" dataDxfId="292"/>
    <tableColumn id="2" xr3:uid="{D28D619B-B9A7-4A31-9E02-375B2B4FBBB3}" name="Lang" dataDxfId="291"/>
  </tableColumns>
  <tableStyleInfo name="TableStyleMedium4" showFirstColumn="0" showLastColumn="0" showRowStripes="1" showColumnStripes="0"/>
</table>
</file>

<file path=xl/tables/table4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8" xr:uid="{7BBA5D9A-7948-41E3-B02A-2A6AF4AF0961}" name="Tabla1167219" displayName="Tabla1167219" ref="C152:D154" totalsRowShown="0" dataDxfId="290" tableBorderDxfId="289">
  <autoFilter ref="C152:D154" xr:uid="{7BBA5D9A-7948-41E3-B02A-2A6AF4AF0961}"/>
  <tableColumns count="2">
    <tableColumn id="1" xr3:uid="{A713032B-F78F-4DAC-87E5-2886A8E68266}" name="Name" dataDxfId="288"/>
    <tableColumn id="2" xr3:uid="{6F71884A-6B89-44FA-AE89-2440BDD73FD2}" name="Lang" dataDxfId="287"/>
  </tableColumns>
  <tableStyleInfo name="TableStyleMedium4" showFirstColumn="0" showLastColumn="0" showRowStripes="1" showColumnStripes="0"/>
</table>
</file>

<file path=xl/tables/table4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19" xr:uid="{B019CF27-0202-419D-9C03-A1B5AF63BCA4}" name="Tabla398868220" displayName="Tabla398868220" ref="K149:L151" totalsRowShown="0" headerRowDxfId="286" dataDxfId="285">
  <autoFilter ref="K149:L151" xr:uid="{B019CF27-0202-419D-9C03-A1B5AF63BCA4}"/>
  <tableColumns count="2">
    <tableColumn id="1" xr3:uid="{EFC74577-D4C5-41F8-BDC6-CF21CD608F58}" name="Description" dataDxfId="284"/>
    <tableColumn id="2" xr3:uid="{FADCA948-A0B0-4755-A1F4-405E62F0AD1E}" name="Idioma" dataDxfId="283"/>
  </tableColumns>
  <tableStyleInfo name="TableStyleMedium18" showFirstColumn="0" showLastColumn="0" showRowStripes="1" showColumnStripes="0"/>
</table>
</file>

<file path=xl/tables/table4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0" xr:uid="{6DEC420C-F7B8-4CA8-AD7D-E9118DF373F5}" name="Tabla678769221" displayName="Tabla678769221" ref="N149:P151" totalsRowShown="0" headerRowDxfId="282" dataDxfId="280" headerRowBorderDxfId="281" tableBorderDxfId="279" totalsRowBorderDxfId="278">
  <autoFilter ref="N149:P151" xr:uid="{6DEC420C-F7B8-4CA8-AD7D-E9118DF373F5}"/>
  <tableColumns count="3">
    <tableColumn id="1" xr3:uid="{9DA9A872-F958-4EA5-AB38-A155FE38C18B}" name="Label" dataDxfId="277"/>
    <tableColumn id="2" xr3:uid="{284E02A4-E920-4213-813C-4C9959BD05D3}" name="Value" dataDxfId="276"/>
    <tableColumn id="3" xr3:uid="{8FD53724-B56B-4B60-B57B-7D63914306BF}" name="Unit" dataDxfId="275">
      <calculatedColumnFormula array="1">_xlfn.XLOOKUP($S150,INDIRECT($R150),INDIRECT($R150&amp;"_Platino"),"No Existe")</calculatedColumnFormula>
    </tableColumn>
  </tableColumns>
  <tableStyleInfo name="TableStyleMedium2" showFirstColumn="0" showLastColumn="0" showRowStripes="1" showColumnStripes="0"/>
</table>
</file>

<file path=xl/tables/table4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1" xr:uid="{AC4C1C1D-AB1B-4F77-8BC7-2390CC3188E6}" name="Tabla7684858688222" displayName="Tabla7684858688222" ref="R149:S151" totalsRowShown="0" tableBorderDxfId="274">
  <autoFilter ref="R149:S151" xr:uid="{AC4C1C1D-AB1B-4F77-8BC7-2390CC3188E6}"/>
  <tableColumns count="2">
    <tableColumn id="1" xr3:uid="{B51E6A5D-4C12-49B6-8700-6F945E7DF292}" name="Type" dataDxfId="273"/>
    <tableColumn id="2" xr3:uid="{5603283F-3025-4E0A-82D3-5E5B32AF7598}" name="Unit" dataDxfId="272"/>
  </tableColumns>
  <tableStyleInfo name="TableStyleMedium20" showFirstColumn="0" showLastColumn="0" showRowStripes="1" showColumnStripes="0"/>
</table>
</file>

<file path=xl/tables/table4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2" xr:uid="{AB39EC81-4AAD-4D9D-BF0B-6A40978CD1F3}" name="Tabla7934223" displayName="Tabla7934223" ref="K159:L160" totalsRowShown="0" headerRowDxfId="271" dataDxfId="270">
  <autoFilter ref="K159:L160" xr:uid="{AB39EC81-4AAD-4D9D-BF0B-6A40978CD1F3}"/>
  <tableColumns count="2">
    <tableColumn id="1" xr3:uid="{C6074BE1-278D-4964-B1A8-C57059989CDC}" name="referral" dataDxfId="269"/>
    <tableColumn id="2" xr3:uid="{A59C9D7F-8CB1-466D-87EF-85D1B75D2AE2}" name="Idioma" dataDxfId="268"/>
  </tableColumns>
  <tableStyleInfo name="TableStyleMedium2" showFirstColumn="0" showLastColumn="0" showRowStripes="1" showColumnStripes="0"/>
</table>
</file>

<file path=xl/tables/table4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3" xr:uid="{F8F0D968-09D6-49CB-85C8-DC09D44F072C}" name="Tabla8135224" displayName="Tabla8135224" ref="K163:L164" totalsRowShown="0" headerRowDxfId="267" dataDxfId="266">
  <autoFilter ref="K163:L164" xr:uid="{F8F0D968-09D6-49CB-85C8-DC09D44F072C}"/>
  <tableColumns count="2">
    <tableColumn id="1" xr3:uid="{29B64FDA-89DF-4F4B-AF2C-D9E89A06F27F}" name="referral" dataDxfId="265"/>
    <tableColumn id="2" xr3:uid="{F9D5C485-F1EA-4D68-8D77-D32721AAF0FA}" name="Idioma" dataDxfId="264"/>
  </tableColumns>
  <tableStyleInfo name="TableStyleMedium2" showFirstColumn="0" showLastColumn="0" showRowStripes="1" showColumnStripes="0"/>
</table>
</file>

<file path=xl/tables/table4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8" xr:uid="{FDDE8AAD-0100-4A60-AE5B-FD7C2F170526}" name="Tabla38" displayName="Tabla38" ref="C36:D37" insertRow="1" totalsRowShown="0" headerRowDxfId="263" dataDxfId="262" tableBorderDxfId="261">
  <autoFilter ref="C36:D37" xr:uid="{FDDE8AAD-0100-4A60-AE5B-FD7C2F170526}"/>
  <tableColumns count="2">
    <tableColumn id="1" xr3:uid="{E510459D-0D09-43AA-8079-A0D8C7A360B0}" name="reference" dataDxfId="260"/>
    <tableColumn id="2" xr3:uid="{AE3AC8BB-6687-4E9C-A904-4C2EFB4979B4}" name="classID" dataDxfId="259"/>
  </tableColumns>
  <tableStyleInfo name="TableStyleMedium2" showFirstColumn="0" showLastColumn="0" showRowStripes="1" showColumnStripes="0"/>
</table>
</file>

<file path=xl/tables/table5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9" xr:uid="{00000000-000C-0000-FFFF-FFFF12000000}" name="Tabla11" displayName="Tabla11" ref="C30:F32" totalsRowShown="0" dataDxfId="258">
  <autoFilter ref="C30:F32" xr:uid="{00000000-0009-0000-0100-000081000000}"/>
  <tableColumns count="4">
    <tableColumn id="1" xr3:uid="{00000000-0010-0000-1200-000001000000}" name="Name" dataDxfId="257"/>
    <tableColumn id="2" xr3:uid="{00000000-0010-0000-1200-000002000000}" name="Lang" dataDxfId="256"/>
    <tableColumn id="3" xr3:uid="{0256455A-5664-4124-A112-21F4EB34F7CC}" name="Issuer" dataDxfId="255"/>
    <tableColumn id="4" xr3:uid="{585B3FAA-B84D-42D0-BF05-9D7AEEB3EF38}" name="Value" dataDxfId="254"/>
  </tableColumns>
  <tableStyleInfo name="TableStyleMedium18" showFirstColumn="0" showLastColumn="0" showRowStripes="1" showColumnStripes="0"/>
</table>
</file>

<file path=xl/tables/table5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57" xr:uid="{00000000-000C-0000-FFFF-FFFF8B000000}" name="Tabla65131" displayName="Tabla65131" ref="C150:O154" totalsRowShown="0" headerRowDxfId="253" dataDxfId="252">
  <autoFilter ref="C150:O154" xr:uid="{00000000-0009-0000-0100-00009D000000}"/>
  <tableColumns count="13">
    <tableColumn id="3" xr3:uid="{EEFCE502-3D0D-47FD-831D-89CEC9082658}" name="refType" dataDxfId="251"/>
    <tableColumn id="1" xr3:uid="{00000000-0010-0000-8B00-000001000000}" name="Name" dataDxfId="250"/>
    <tableColumn id="2" xr3:uid="{00000000-0010-0000-8B00-000002000000}" name="Lang" dataDxfId="249"/>
    <tableColumn id="4" xr3:uid="{3706A41B-6878-4C51-8BBD-2BDF900674C1}" name="Referral" dataDxfId="248"/>
    <tableColumn id="5" xr3:uid="{A9DDCF5E-6BCC-4B2B-9B42-2410D6C1DEBE}" name="ReferralID" dataDxfId="247"/>
    <tableColumn id="6" xr3:uid="{13A86AF7-179F-4DB0-96B5-94B052E2472A}" name="Procedure" dataDxfId="246"/>
    <tableColumn id="7" xr3:uid="{482A6F55-209F-4F57-9C72-AC7B82AF9C03}" name="Value" dataDxfId="245"/>
    <tableColumn id="8" xr3:uid="{6FD547AD-7AA0-4133-9DF9-89C6A4A4C66F}" name="refTypeQuantity" dataDxfId="244"/>
    <tableColumn id="9" xr3:uid="{922A5BAC-2566-4088-9D31-E36A8B4E29E1}" name="Value2" dataDxfId="243"/>
    <tableColumn id="10" xr3:uid="{B4BE65BC-0388-47CB-9150-9710786D3C1A}" name="Unit" dataDxfId="242"/>
    <tableColumn id="11" xr3:uid="{E0C04C33-2EFE-4560-A1D6-F013C7F45513}" name="valueExpandedMU" dataDxfId="241"/>
    <tableColumn id="12" xr3:uid="{E6CA14AA-B33C-4088-8E6D-D8ECE72D50D9}" name="coverageFactor" dataDxfId="240"/>
    <tableColumn id="13" xr3:uid="{1D86E836-E50F-45E3-98AB-41ED5F66FC8C}" name="coverageProbability" dataDxfId="239"/>
  </tableColumns>
  <tableStyleInfo name="TableStyleMedium2" showFirstColumn="0" showLastColumn="0" showRowStripes="1" showColumnStripes="0"/>
</table>
</file>

<file path=xl/tables/table5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3" xr:uid="{00000000-000C-0000-FFFF-FFFF90000000}" name="Tabla6513138" displayName="Tabla6513138" ref="D15:E17" tableType="xml" totalsRowShown="0" headerRowDxfId="238" dataDxfId="237">
  <autoFilter ref="D15:E17" xr:uid="{00000000-0009-0000-0100-0000A3000000}"/>
  <tableColumns count="2">
    <tableColumn id="1" xr3:uid="{00000000-0010-0000-9000-000001000000}" uniqueName="ns1:content" name="Name" dataDxfId="236">
      <xmlColumnPr mapId="4" xpath="/ns1:digitalCalibrationCertificate/ns1:measurementResults/ns1:measurementResult/ns1:influenceConditions/ns1:influenceCondition/ns1:name/ns1:content" xmlDataType="string"/>
    </tableColumn>
    <tableColumn id="2" xr3:uid="{00000000-0010-0000-9000-000002000000}" uniqueName="lang" name="Lang" dataDxfId="235">
      <xmlColumnPr mapId="4" xpath="/ns1:digitalCalibrationCertificate/ns1:measurementResults/ns1:measurementResult/ns1:influenceConditions/ns1:influenceCondition/ns1:name/ns1:content/@lang" xmlDataType="string"/>
    </tableColumn>
  </tableColumns>
  <tableStyleInfo name="TableStyleMedium2" showFirstColumn="0" showLastColumn="0" showRowStripes="1" showColumnStripes="0"/>
</table>
</file>

<file path=xl/tables/table5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4" xr:uid="{00000000-000C-0000-FFFF-FFFF91000000}" name="Tabla66307639" displayName="Tabla66307639" ref="D19:E21" totalsRowShown="0" headerRowDxfId="234" dataDxfId="233">
  <autoFilter ref="D19:E21" xr:uid="{00000000-0009-0000-0100-0000A4000000}"/>
  <tableColumns count="2">
    <tableColumn id="1" xr3:uid="{00000000-0010-0000-9100-000001000000}" name="Description" dataDxfId="232"/>
    <tableColumn id="2" xr3:uid="{00000000-0010-0000-9100-000002000000}" name="Lang" dataDxfId="231"/>
  </tableColumns>
  <tableStyleInfo name="TableStyleMedium9" showFirstColumn="0" showLastColumn="0" showRowStripes="1" showColumnStripes="0"/>
</table>
</file>

<file path=xl/tables/table5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5" xr:uid="{00000000-000C-0000-FFFF-FFFF92000000}" name="Tabla7945" displayName="Tabla7945" ref="D29:E30" tableType="xml" totalsRowShown="0" headerRowDxfId="230" dataDxfId="229">
  <autoFilter ref="D29:E30" xr:uid="{00000000-0009-0000-0100-0000A5000000}"/>
  <tableColumns count="2">
    <tableColumn id="1" xr3:uid="{00000000-0010-0000-9200-000001000000}" uniqueName="ns1:content" name="referral" dataDxfId="228">
      <xmlColumnPr mapId="4" xpath="/ns1:digitalCalibrationCertificate/ns1:measurementResults/ns1:measurementResult/ns1:influenceConditions/ns1:influenceCondition/ns1:certificate/ns1:referral/ns1:content" xmlDataType="string"/>
    </tableColumn>
    <tableColumn id="2" xr3:uid="{00000000-0010-0000-9200-000002000000}" uniqueName="lang" name="Lang" dataDxfId="227">
      <xmlColumnPr mapId="4" xpath="/ns1:digitalCalibrationCertificate/ns1:measurementResults/ns1:measurementResult/ns1:influenceConditions/ns1:influenceCondition/ns1:certificate/ns1:referral/ns1:content/@lang" xmlDataType="string"/>
    </tableColumn>
  </tableColumns>
  <tableStyleInfo name="TableStyleMedium2" showFirstColumn="0" showLastColumn="0" showRowStripes="1" showColumnStripes="0"/>
</table>
</file>

<file path=xl/tables/table5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6" xr:uid="{00000000-000C-0000-FFFF-FFFF93000000}" name="Tabla8146" displayName="Tabla8146" ref="D33:E34" totalsRowShown="0" headerRowDxfId="226" dataDxfId="225">
  <autoFilter ref="D33:E34" xr:uid="{00000000-0009-0000-0100-0000A6000000}"/>
  <tableColumns count="2">
    <tableColumn id="1" xr3:uid="{00000000-0010-0000-9300-000001000000}" name="referral" dataDxfId="224"/>
    <tableColumn id="2" xr3:uid="{00000000-0010-0000-9300-000002000000}" name="Lang" dataDxfId="223"/>
  </tableColumns>
  <tableStyleInfo name="TableStyleMedium2" showFirstColumn="0" showLastColumn="0" showRowStripes="1" showColumnStripes="0"/>
</table>
</file>

<file path=xl/tables/table5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67" xr:uid="{00000000-000C-0000-FFFF-FFFF94000000}" name="Tabla76848748" displayName="Tabla76848748" ref="J20:K21" totalsRowShown="0" headerRowDxfId="222" dataDxfId="221" tableBorderDxfId="220">
  <autoFilter ref="J20:K21" xr:uid="{00000000-0009-0000-0100-0000A7000000}"/>
  <tableColumns count="2">
    <tableColumn id="1" xr3:uid="{00000000-0010-0000-9400-000001000000}" name="Type" dataDxfId="219"/>
    <tableColumn id="2" xr3:uid="{00000000-0010-0000-9400-000002000000}" name="Unit" dataDxfId="218"/>
  </tableColumns>
  <tableStyleInfo name="TableStyleMedium20" showFirstColumn="0" showLastColumn="0" showRowStripes="1" showColumnStripes="0"/>
</table>
</file>

<file path=xl/tables/table5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6" xr:uid="{67B65021-6FCF-4193-8546-E2425DD9D7B5}" name="Tabla651313857" displayName="Tabla651313857" ref="D123:E125" totalsRowShown="0" headerRowDxfId="217" dataDxfId="216">
  <autoFilter ref="D123:E125" xr:uid="{67B65021-6FCF-4193-8546-E2425DD9D7B5}"/>
  <tableColumns count="2">
    <tableColumn id="1" xr3:uid="{CB964BD1-1F20-4693-ADDA-3E07D2809559}" name="Name" dataDxfId="215"/>
    <tableColumn id="2" xr3:uid="{2F81BEB1-A4A7-4262-AB75-090D9D957EDC}" name="Lang" dataDxfId="214"/>
  </tableColumns>
  <tableStyleInfo name="TableStyleMedium2" showFirstColumn="0" showLastColumn="0" showRowStripes="1" showColumnStripes="0"/>
</table>
</file>

<file path=xl/tables/table5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7" xr:uid="{EAEB7CA4-069C-412D-9642-9846CF38C598}" name="Tabla6630763958" displayName="Tabla6630763958" ref="D127:E129" totalsRowShown="0" headerRowDxfId="213" dataDxfId="212">
  <autoFilter ref="D127:E129" xr:uid="{EAEB7CA4-069C-412D-9642-9846CF38C598}"/>
  <tableColumns count="2">
    <tableColumn id="1" xr3:uid="{2F2238CA-048B-4174-B660-8DC12D5662D0}" name="Description" dataDxfId="211"/>
    <tableColumn id="2" xr3:uid="{D6439F39-8159-43C4-9D9C-EAB424807F85}" name="Lang" dataDxfId="210"/>
  </tableColumns>
  <tableStyleInfo name="TableStyleMedium9" showFirstColumn="0" showLastColumn="0" showRowStripes="1" showColumnStripes="0"/>
</table>
</file>

<file path=xl/tables/table5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8" xr:uid="{4393F061-ADB4-421B-976A-212F00FF1E3C}" name="Tabla794559" displayName="Tabla794559" ref="D137:E138" totalsRowShown="0" headerRowDxfId="209" dataDxfId="208">
  <autoFilter ref="D137:E138" xr:uid="{4393F061-ADB4-421B-976A-212F00FF1E3C}"/>
  <tableColumns count="2">
    <tableColumn id="1" xr3:uid="{D53524FF-12A4-4390-8A5C-54AAC5949ED8}" name="referral" dataDxfId="207"/>
    <tableColumn id="2" xr3:uid="{129A1E0C-7547-486B-A8C5-4F5B6EEB7D97}" name="Lang" dataDxfId="206"/>
  </tableColumns>
  <tableStyleInfo name="TableStyleMedium2" showFirstColumn="0" showLastColumn="0" showRowStripes="1" showColumnStripes="0"/>
</table>
</file>

<file path=xl/tables/table6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0" xr:uid="{20A01E13-11D5-4F57-B790-4F61298A95FE}" name="Tabla814661" displayName="Tabla814661" ref="D141:E142" totalsRowShown="0" headerRowDxfId="205" dataDxfId="204">
  <autoFilter ref="D141:E142" xr:uid="{20A01E13-11D5-4F57-B790-4F61298A95FE}"/>
  <tableColumns count="2">
    <tableColumn id="1" xr3:uid="{78FE1108-6C14-4387-BC86-6042F982C693}" name="referral" dataDxfId="203"/>
    <tableColumn id="2" xr3:uid="{C2B70EE2-96ED-498B-90D3-03EFD5B222A5}" name="Lang" dataDxfId="202"/>
  </tableColumns>
  <tableStyleInfo name="TableStyleMedium2" showFirstColumn="0" showLastColumn="0" showRowStripes="1" showColumnStripes="0"/>
</table>
</file>

<file path=xl/tables/table6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1" xr:uid="{8CCC596D-0869-42D1-8FA8-1C28039A32F4}" name="Tabla7684874862" displayName="Tabla7684874862" ref="N125:O127" totalsRowShown="0" dataDxfId="201" tableBorderDxfId="200">
  <autoFilter ref="N125:O127" xr:uid="{8CCC596D-0869-42D1-8FA8-1C28039A32F4}"/>
  <tableColumns count="2">
    <tableColumn id="1" xr3:uid="{99783930-A136-424A-B79A-CBAAF1D5CFE9}" name="Type" dataDxfId="199"/>
    <tableColumn id="2" xr3:uid="{3B860CF8-BB9A-4D40-954A-E64CF056A6E7}" name="Unit" dataDxfId="198"/>
  </tableColumns>
  <tableStyleInfo name="TableStyleMedium20" showFirstColumn="0" showLastColumn="0" showRowStripes="1" showColumnStripes="0"/>
</table>
</file>

<file path=xl/tables/table6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3" xr:uid="{6C905DCB-F718-4E5E-BDEC-73EB7C0BD40B}" name="influenceConditionsTable54157" displayName="influenceConditionsTable54157" ref="G125:L127" totalsRowShown="0" headerRowDxfId="197" dataDxfId="196">
  <autoFilter ref="G125:L127" xr:uid="{6C905DCB-F718-4E5E-BDEC-73EB7C0BD40B}"/>
  <tableColumns count="6">
    <tableColumn id="6" xr3:uid="{242BE9A4-6DA5-4C51-B81B-972AC7EFECA4}" name="refType" dataDxfId="195"/>
    <tableColumn id="3" xr3:uid="{5A713253-09A2-42E1-AF1C-68C11A90B20C}" name="Lang" dataDxfId="194"/>
    <tableColumn id="1" xr3:uid="{350D3B2E-7D83-4E2F-AE16-C012CF280E4E}" name="Name" dataDxfId="193"/>
    <tableColumn id="2" xr3:uid="{21F5FF35-17D6-4F2C-B476-34B0EB2883AB}" name="Label" dataDxfId="192"/>
    <tableColumn id="4" xr3:uid="{32ABC5EB-F71A-427C-85B3-87058CB1DF27}" name="Value" dataDxfId="191"/>
    <tableColumn id="5" xr3:uid="{2A23ACF0-F380-4A9B-B132-82A8AD7D45BA}" name="Unit (Platinum)" dataDxfId="190">
      <calculatedColumnFormula array="1">_xlfn.XLOOKUP($O126,INDIRECT($N126),INDIRECT($N126&amp;"_Platino"),"No Existe")</calculatedColumnFormula>
    </tableColumn>
  </tableColumns>
  <tableStyleInfo name="TableStyleMedium4" showFirstColumn="0" showLastColumn="0" showRowStripes="1" showColumnStripes="0"/>
</table>
</file>

<file path=xl/tables/table6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4" xr:uid="{805D734D-0069-4129-BF9D-7A464133C71A}" name="Tabla651313865" displayName="Tabla651313865" ref="D42:E44" tableType="xml" totalsRowShown="0" headerRowDxfId="189" dataDxfId="188">
  <autoFilter ref="D42:E44" xr:uid="{805D734D-0069-4129-BF9D-7A464133C71A}"/>
  <tableColumns count="2">
    <tableColumn id="1" xr3:uid="{1C0E9F85-3DC9-4813-A68D-DC94FB784897}" uniqueName="ns1:content" name="Name" dataDxfId="187">
      <xmlColumnPr mapId="4" xpath="/ns1:digitalCalibrationCertificate/ns1:measurementResults/ns1:measurementResult/ns1:influenceConditions/ns1:influenceConditionOnce/ns1:name/ns1:content" xmlDataType="string"/>
    </tableColumn>
    <tableColumn id="2" xr3:uid="{F0C76A9D-3AE3-4884-ADF5-E2DD843A1100}" uniqueName="lang" name="Lang" dataDxfId="186">
      <xmlColumnPr mapId="4" xpath="/ns1:digitalCalibrationCertificate/ns1:measurementResults/ns1:measurementResult/ns1:influenceConditions/ns1:influenceConditionOnce/ns1:name/ns1:content/@lang" xmlDataType="string"/>
    </tableColumn>
  </tableColumns>
  <tableStyleInfo name="TableStyleMedium2" showFirstColumn="0" showLastColumn="0" showRowStripes="1" showColumnStripes="0"/>
</table>
</file>

<file path=xl/tables/table6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5" xr:uid="{821A0E17-AD50-4CB3-A7E8-2B1DF0ACAE63}" name="Tabla6630763966" displayName="Tabla6630763966" ref="D46:E48" totalsRowShown="0" headerRowDxfId="185" dataDxfId="184">
  <autoFilter ref="D46:E48" xr:uid="{821A0E17-AD50-4CB3-A7E8-2B1DF0ACAE63}"/>
  <tableColumns count="2">
    <tableColumn id="1" xr3:uid="{E471F29D-CEDF-4382-B004-49E2EBB6BAAB}" name="Description" dataDxfId="183"/>
    <tableColumn id="2" xr3:uid="{328C8959-7E4A-4361-A446-9FB9AF40C407}" name="Lang" dataDxfId="182"/>
  </tableColumns>
  <tableStyleInfo name="TableStyleMedium9" showFirstColumn="0" showLastColumn="0" showRowStripes="1" showColumnStripes="0"/>
</table>
</file>

<file path=xl/tables/table6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7" xr:uid="{6B0B806A-E8FC-429F-A153-CCEAA2599AA4}" name="Tabla794568" displayName="Tabla794568" ref="D56:E57" totalsRowShown="0" headerRowDxfId="181" dataDxfId="180">
  <autoFilter ref="D56:E57" xr:uid="{6B0B806A-E8FC-429F-A153-CCEAA2599AA4}"/>
  <tableColumns count="2">
    <tableColumn id="1" xr3:uid="{BD3E3479-BA13-4491-990A-BF81EE22BB3C}" name="referral" dataDxfId="179"/>
    <tableColumn id="2" xr3:uid="{A314F0FF-24A9-4A82-979E-34C1D5DAF040}" name="Lang" dataDxfId="178"/>
  </tableColumns>
  <tableStyleInfo name="TableStyleMedium2" showFirstColumn="0" showLastColumn="0" showRowStripes="1" showColumnStripes="0"/>
</table>
</file>

<file path=xl/tables/table6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8" xr:uid="{E6EF5218-B347-4B5F-A7C3-E741071BD849}" name="Tabla814669" displayName="Tabla814669" ref="D60:E61" totalsRowShown="0" headerRowDxfId="177" dataDxfId="176">
  <autoFilter ref="D60:E61" xr:uid="{E6EF5218-B347-4B5F-A7C3-E741071BD849}"/>
  <tableColumns count="2">
    <tableColumn id="1" xr3:uid="{05EA8557-7290-4967-8B7C-544FBA7B1E24}" name="referral" dataDxfId="175"/>
    <tableColumn id="2" xr3:uid="{FB292B77-2538-463E-B447-F2BD11798394}" name="Lang" dataDxfId="174"/>
  </tableColumns>
  <tableStyleInfo name="TableStyleMedium2" showFirstColumn="0" showLastColumn="0" showRowStripes="1" showColumnStripes="0"/>
</table>
</file>

<file path=xl/tables/table6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9" xr:uid="{0B05D768-2B34-44CC-984D-9A9F3B8FE0C9}" name="Tabla7684874870" displayName="Tabla7684874870" ref="J47:K48" totalsRowShown="0" dataDxfId="173" tableBorderDxfId="172">
  <autoFilter ref="J47:K48" xr:uid="{0B05D768-2B34-44CC-984D-9A9F3B8FE0C9}"/>
  <tableColumns count="2">
    <tableColumn id="1" xr3:uid="{44F3C63A-6C3A-4725-8F15-6C8C1EFCB0B2}" name="Type" dataDxfId="171"/>
    <tableColumn id="2" xr3:uid="{72085A5E-FBD9-430E-96B5-51B3923718EB}" name="Unit" dataDxfId="170"/>
  </tableColumns>
  <tableStyleInfo name="TableStyleMedium20" showFirstColumn="0" showLastColumn="0" showRowStripes="1" showColumnStripes="0"/>
</table>
</file>

<file path=xl/tables/table6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6" xr:uid="{C35C1C79-EE6E-47CC-A130-0312AA218EA4}" name="Tabla65131386577" displayName="Tabla65131386577" ref="D69:E71" tableType="xml" totalsRowShown="0" headerRowDxfId="169" dataDxfId="168">
  <autoFilter ref="D69:E71" xr:uid="{C35C1C79-EE6E-47CC-A130-0312AA218EA4}"/>
  <tableColumns count="2">
    <tableColumn id="1" xr3:uid="{C78D87B0-67E4-40ED-AFDE-993285C3DFDE}" uniqueName="ns1:content" name="Name" dataDxfId="167">
      <xmlColumnPr mapId="4" xpath="/ns1:digitalCalibrationCertificate/ns1:measurementResults/ns1:measurementResult/ns1:influenceConditions/ns1:influenceConditionOther/ns1:name/ns1:content" xmlDataType="string"/>
    </tableColumn>
    <tableColumn id="2" xr3:uid="{E720A451-22A2-45AE-8479-9F22212DF50D}" uniqueName="lang" name="Lang" dataDxfId="166">
      <xmlColumnPr mapId="4" xpath="/ns1:digitalCalibrationCertificate/ns1:measurementResults/ns1:measurementResult/ns1:influenceConditions/ns1:influenceConditionOther/ns1:name/ns1:content/@lang" xmlDataType="string"/>
    </tableColumn>
  </tableColumns>
  <tableStyleInfo name="TableStyleMedium2" showFirstColumn="0" showLastColumn="0" showRowStripes="1" showColumnStripes="0"/>
</table>
</file>

<file path=xl/tables/table6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7" xr:uid="{EABDCADA-B212-4D50-AF99-F911716027EF}" name="Tabla663076396678" displayName="Tabla663076396678" ref="D73:E75" totalsRowShown="0" headerRowDxfId="165" dataDxfId="164">
  <autoFilter ref="D73:E75" xr:uid="{EABDCADA-B212-4D50-AF99-F911716027EF}"/>
  <tableColumns count="2">
    <tableColumn id="1" xr3:uid="{80B8652B-0585-4C29-81D8-0EAAF37EFF22}" name="Description" dataDxfId="163"/>
    <tableColumn id="2" xr3:uid="{DA39BB84-67DC-4267-9FEC-E9AFDBD10880}" name="Lang" dataDxfId="162"/>
  </tableColumns>
  <tableStyleInfo name="TableStyleMedium9" showFirstColumn="0" showLastColumn="0" showRowStripes="1" showColumnStripes="0"/>
</table>
</file>

<file path=xl/tables/table7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8" xr:uid="{AAEA8933-F3BD-45B4-BBA9-50871A4BAA1C}" name="Tabla79456879" displayName="Tabla79456879" ref="D83:E84" totalsRowShown="0" headerRowDxfId="161" dataDxfId="160">
  <autoFilter ref="D83:E84" xr:uid="{AAEA8933-F3BD-45B4-BBA9-50871A4BAA1C}"/>
  <tableColumns count="2">
    <tableColumn id="1" xr3:uid="{E8B47DAA-B2B4-4786-9283-D3C0664A228F}" name="referral" dataDxfId="159"/>
    <tableColumn id="2" xr3:uid="{24E3A568-BF53-4D95-BBB1-9EBCA5834567}" name="Lang" dataDxfId="158"/>
  </tableColumns>
  <tableStyleInfo name="TableStyleMedium2" showFirstColumn="0" showLastColumn="0" showRowStripes="1" showColumnStripes="0"/>
</table>
</file>

<file path=xl/tables/table7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9" xr:uid="{92F8C966-58FE-4706-8E16-90354F119076}" name="Tabla81466980" displayName="Tabla81466980" ref="D87:E88" totalsRowShown="0" headerRowDxfId="157" dataDxfId="156">
  <autoFilter ref="D87:E88" xr:uid="{92F8C966-58FE-4706-8E16-90354F119076}"/>
  <tableColumns count="2">
    <tableColumn id="1" xr3:uid="{15723181-F706-4CFF-ADD7-9B897EABA5B0}" name="referral" dataDxfId="155"/>
    <tableColumn id="2" xr3:uid="{7983C119-B823-4804-919D-B0EA55E89BFA}" name="Lang" dataDxfId="154"/>
  </tableColumns>
  <tableStyleInfo name="TableStyleMedium2" showFirstColumn="0" showLastColumn="0" showRowStripes="1" showColumnStripes="0"/>
</table>
</file>

<file path=xl/tables/table7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0" xr:uid="{085A38FD-1C8F-4DAB-8DB9-C89A0800B454}" name="Tabla768487487081" displayName="Tabla768487487081" ref="J74:K75" totalsRowShown="0" dataDxfId="153" tableBorderDxfId="152">
  <autoFilter ref="J74:K75" xr:uid="{085A38FD-1C8F-4DAB-8DB9-C89A0800B454}"/>
  <tableColumns count="2">
    <tableColumn id="1" xr3:uid="{2211DB2D-3038-4EC4-B2CE-C37E67B056A0}" name="Type" dataDxfId="151"/>
    <tableColumn id="2" xr3:uid="{331E7282-BAC0-44FB-A9BC-38F5F7B0668C}" name="Unit" dataDxfId="150"/>
  </tableColumns>
  <tableStyleInfo name="TableStyleMedium20" showFirstColumn="0" showLastColumn="0" showRowStripes="1" showColumnStripes="0"/>
</table>
</file>

<file path=xl/tables/table7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1" xr:uid="{375BFBE4-4473-44F3-9136-7B12A6C8FEBA}" name="Tabla6513138657782" displayName="Tabla6513138657782" ref="D96:E98" tableType="xml" totalsRowShown="0" headerRowDxfId="149" dataDxfId="148">
  <autoFilter ref="D96:E98" xr:uid="{375BFBE4-4473-44F3-9136-7B12A6C8FEBA}"/>
  <tableColumns count="2">
    <tableColumn id="1" xr3:uid="{85BF8E4D-7E13-4324-89AF-4778EB4142BD}" uniqueName="ns1:content" name="Name" dataDxfId="147">
      <xmlColumnPr mapId="4" xpath="/ns1:digitalCalibrationCertificate/ns1:measurementResults/ns1:measurementResult/ns1:influenceConditions/ns1:influenceConditionAnother/ns1:name/ns1:content" xmlDataType="string"/>
    </tableColumn>
    <tableColumn id="2" xr3:uid="{A5274A83-4277-4564-9581-7AD5037C376A}" uniqueName="lang" name="Lang" dataDxfId="146">
      <xmlColumnPr mapId="4" xpath="/ns1:digitalCalibrationCertificate/ns1:measurementResults/ns1:measurementResult/ns1:influenceConditions/ns1:influenceConditionAnother/ns1:name/ns1:content/@lang" xmlDataType="string"/>
    </tableColumn>
  </tableColumns>
  <tableStyleInfo name="TableStyleMedium2" showFirstColumn="0" showLastColumn="0" showRowStripes="1" showColumnStripes="0"/>
</table>
</file>

<file path=xl/tables/table7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2" xr:uid="{262386E3-2D70-463E-A9CC-EF2823FBA710}" name="Tabla66307639667883" displayName="Tabla66307639667883" ref="D100:E102" totalsRowShown="0" headerRowDxfId="145" dataDxfId="144">
  <autoFilter ref="D100:E102" xr:uid="{262386E3-2D70-463E-A9CC-EF2823FBA710}"/>
  <tableColumns count="2">
    <tableColumn id="1" xr3:uid="{D5DAFF47-AB17-4993-B37B-5DBAD286A192}" name="Description" dataDxfId="143"/>
    <tableColumn id="2" xr3:uid="{26DD816A-4E36-494A-B7F0-5B32CC2E322D}" name="Lang" dataDxfId="142"/>
  </tableColumns>
  <tableStyleInfo name="TableStyleMedium9" showFirstColumn="0" showLastColumn="0" showRowStripes="1" showColumnStripes="0"/>
</table>
</file>

<file path=xl/tables/table7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3" xr:uid="{F017A6AE-DABA-493B-ACD9-D8C04C2AA0F4}" name="Tabla7945687984" displayName="Tabla7945687984" ref="D110:E111" totalsRowShown="0" headerRowDxfId="141" dataDxfId="140">
  <autoFilter ref="D110:E111" xr:uid="{F017A6AE-DABA-493B-ACD9-D8C04C2AA0F4}"/>
  <tableColumns count="2">
    <tableColumn id="1" xr3:uid="{419BB6E8-A288-4642-87B0-1E9EFF65A290}" name="referral" dataDxfId="139"/>
    <tableColumn id="2" xr3:uid="{22FBD8CB-733A-4741-8BF3-4D73B7C7741C}" name="Lang" dataDxfId="138"/>
  </tableColumns>
  <tableStyleInfo name="TableStyleMedium2" showFirstColumn="0" showLastColumn="0" showRowStripes="1" showColumnStripes="0"/>
</table>
</file>

<file path=xl/tables/table7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4" xr:uid="{5022EB63-FF90-48D4-A9ED-51E8318AAB54}" name="Tabla8146698085" displayName="Tabla8146698085" ref="D114:E115" totalsRowShown="0" headerRowDxfId="137" dataDxfId="136">
  <autoFilter ref="D114:E115" xr:uid="{5022EB63-FF90-48D4-A9ED-51E8318AAB54}"/>
  <tableColumns count="2">
    <tableColumn id="1" xr3:uid="{1A23C9E8-4B23-4A0D-ACA9-03D9B952565A}" name="referral" dataDxfId="135"/>
    <tableColumn id="2" xr3:uid="{2D718A77-9D57-4B54-BFA9-FC90A3D0BEE6}" name="Lang" dataDxfId="134"/>
  </tableColumns>
  <tableStyleInfo name="TableStyleMedium2" showFirstColumn="0" showLastColumn="0" showRowStripes="1" showColumnStripes="0"/>
</table>
</file>

<file path=xl/tables/table7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5" xr:uid="{DD03E99D-30E8-4ACC-A091-DB6B0ED6BF0B}" name="Tabla76848748708186" displayName="Tabla76848748708186" ref="J101:K102" totalsRowShown="0" dataDxfId="133" tableBorderDxfId="132">
  <autoFilter ref="J101:K102" xr:uid="{DD03E99D-30E8-4ACC-A091-DB6B0ED6BF0B}"/>
  <tableColumns count="2">
    <tableColumn id="1" xr3:uid="{11C05903-66C8-493E-8CD7-591BEE8DAC0B}" name="Type" dataDxfId="131"/>
    <tableColumn id="2" xr3:uid="{BE9E1E0B-DFF4-44D5-BD08-C5C141CD44E6}" name="Unit" dataDxfId="130"/>
  </tableColumns>
  <tableStyleInfo name="TableStyleMedium20" showFirstColumn="0" showLastColumn="0" showRowStripes="1" showColumnStripes="0"/>
</table>
</file>

<file path=xl/tables/table7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8" xr:uid="{00000000-000C-0000-FFFF-FFFFA7000000}" name="Tabla6513189" displayName="Tabla6513189" ref="C15:D17" tableType="xml" totalsRowShown="0" headerRowDxfId="129" dataDxfId="128">
  <autoFilter ref="C15:D17" xr:uid="{00000000-0009-0000-0100-000058000000}"/>
  <tableColumns count="2">
    <tableColumn id="1" xr3:uid="{00000000-0010-0000-A700-000001000000}" uniqueName="ns1:content" name="Name" dataDxfId="127">
      <xmlColumnPr mapId="4" xpath="/ns1:digitalCalibrationCertificate/ns1:measurementResults/ns1:measurementResult/ns1:results/ns1:result/ns1:name/ns1:content" xmlDataType="string"/>
    </tableColumn>
    <tableColumn id="2" xr3:uid="{00000000-0010-0000-A700-000002000000}" uniqueName="lang" name="Lang" dataDxfId="126">
      <xmlColumnPr mapId="4" xpath="/ns1:digitalCalibrationCertificate/ns1:measurementResults/ns1:measurementResult/ns1:results/ns1:result/ns1:name/ns1:content/@lang" xmlDataType="string"/>
    </tableColumn>
  </tableColumns>
  <tableStyleInfo name="TableStyleMedium2" showFirstColumn="0" showLastColumn="0" showRowStripes="1" showColumnStripes="0"/>
</table>
</file>

<file path=xl/tables/table7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89" xr:uid="{00000000-000C-0000-FFFF-FFFFA8000000}" name="Tabla66307690" displayName="Tabla66307690" ref="F15:G17" totalsRowShown="0" headerRowDxfId="125" dataDxfId="124">
  <autoFilter ref="F15:G17" xr:uid="{00000000-0009-0000-0100-000059000000}"/>
  <tableColumns count="2">
    <tableColumn id="1" xr3:uid="{00000000-0010-0000-A800-000001000000}" name="Description" dataDxfId="123"/>
    <tableColumn id="2" xr3:uid="{00000000-0010-0000-A800-000002000000}" name="Lang" dataDxfId="122"/>
  </tableColumns>
  <tableStyleInfo name="TableStyleMedium9" showFirstColumn="0" showLastColumn="0" showRowStripes="1" showColumnStripes="0"/>
</table>
</file>

<file path=xl/tables/table8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0" xr:uid="{00000000-000C-0000-FFFF-FFFFA9000000}" name="Tabla21" displayName="Tabla21" ref="F19:F20" totalsRowShown="0" headerRowDxfId="121" dataDxfId="120">
  <autoFilter ref="F19:F20" xr:uid="{00000000-0009-0000-0100-00005A000000}"/>
  <tableColumns count="1">
    <tableColumn id="1" xr3:uid="{00000000-0010-0000-A900-000001000000}" name="Formula" dataDxfId="119"/>
  </tableColumns>
  <tableStyleInfo name="TableStyleLight13" showFirstColumn="0" showLastColumn="0" showRowStripes="1" showColumnStripes="0"/>
</table>
</file>

<file path=xl/tables/table8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1" xr:uid="{00000000-000C-0000-FFFF-FFFFAA000000}" name="Tabla49" displayName="Tabla49" ref="C26:D28" tableType="xml" totalsRowShown="0">
  <autoFilter ref="C26:D28" xr:uid="{00000000-0009-0000-0100-00005B000000}"/>
  <tableColumns count="2">
    <tableColumn id="1" xr3:uid="{00000000-0010-0000-AA00-000001000000}" uniqueName="ns1:content" name="Name" dataDxfId="118">
      <xmlColumnPr mapId="4" xpath="/ns1:digitalCalibrationCertificate/ns1:measurementResults/ns1:measurementResult/ns1:results/ns1:result/ns1:data/ns1:quantityOnce/ns1:name/ns1:content" xmlDataType="string"/>
    </tableColumn>
    <tableColumn id="2" xr3:uid="{00000000-0010-0000-AA00-000002000000}" uniqueName="lang" name="Lang" dataDxfId="117">
      <xmlColumnPr mapId="4" xpath="/ns1:digitalCalibrationCertificate/ns1:measurementResults/ns1:measurementResult/ns1:results/ns1:result/ns1:data/ns1:quantityOnce/ns1:name/ns1:content/@lang" xmlDataType="string"/>
    </tableColumn>
  </tableColumns>
  <tableStyleInfo name="TableStyleMedium2" showFirstColumn="0" showLastColumn="0" showRowStripes="1" showColumnStripes="0"/>
</table>
</file>

<file path=xl/tables/table8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96" xr:uid="{00000000-000C-0000-FFFF-FFFFAF000000}" name="Tabla76848719" displayName="Tabla76848719" ref="G30:H31" totalsRowShown="0" headerRowDxfId="116" dataDxfId="115" tableBorderDxfId="114">
  <autoFilter ref="G30:H31" xr:uid="{00000000-0009-0000-0100-000060000000}"/>
  <tableColumns count="2">
    <tableColumn id="1" xr3:uid="{00000000-0010-0000-AF00-000001000000}" name="Type" dataDxfId="113"/>
    <tableColumn id="2" xr3:uid="{00000000-0010-0000-AF00-000002000000}" name="Unit" dataDxfId="112"/>
  </tableColumns>
  <tableStyleInfo name="TableStyleMedium20" showFirstColumn="0" showLastColumn="0" showRowStripes="1" showColumnStripes="0"/>
</table>
</file>

<file path=xl/tables/table8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9" xr:uid="{AF2AEFB3-14B5-4712-A3A1-DD81F98DE7C6}" name="Tabla4950" displayName="Tabla4950" ref="C37:D39" totalsRowShown="0" dataDxfId="111">
  <autoFilter ref="C37:D39" xr:uid="{AF2AEFB3-14B5-4712-A3A1-DD81F98DE7C6}"/>
  <tableColumns count="2">
    <tableColumn id="1" xr3:uid="{694A1413-85EB-4DFE-A205-2F29EFE5CCF8}" name="Name" dataDxfId="110"/>
    <tableColumn id="2" xr3:uid="{5FD6CE5E-8F3B-4ECC-92FA-E366C8D65D65}" name="Lang" dataDxfId="109"/>
  </tableColumns>
  <tableStyleInfo name="TableStyleMedium2" showFirstColumn="0" showLastColumn="0" showRowStripes="1" showColumnStripes="0"/>
</table>
</file>

<file path=xl/tables/table8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0" xr:uid="{920F74E7-CDEF-4FEE-9D01-9D7D5F799D03}" name="Tabla7684871951" displayName="Tabla7684871951" ref="G41:H42" totalsRowShown="0" dataDxfId="108" tableBorderDxfId="107">
  <autoFilter ref="G41:H42" xr:uid="{920F74E7-CDEF-4FEE-9D01-9D7D5F799D03}"/>
  <tableColumns count="2">
    <tableColumn id="1" xr3:uid="{5EA90393-5CA0-4432-9464-45E48E70F810}" name="Type" dataDxfId="106"/>
    <tableColumn id="2" xr3:uid="{B60DC1FC-B400-4C5C-AA75-30E63CADC116}" name="Unit" dataDxfId="105"/>
  </tableColumns>
  <tableStyleInfo name="TableStyleMedium20" showFirstColumn="0" showLastColumn="0" showRowStripes="1" showColumnStripes="0"/>
</table>
</file>

<file path=xl/tables/table8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2" xr:uid="{7F93458E-0C88-4DFE-986E-D15EA09E566B}" name="Tabla768487195163" displayName="Tabla768487195163" ref="G57:H59" totalsRowShown="0" dataDxfId="104" tableBorderDxfId="103">
  <autoFilter ref="G57:H59" xr:uid="{7F93458E-0C88-4DFE-986E-D15EA09E566B}"/>
  <tableColumns count="2">
    <tableColumn id="1" xr3:uid="{743FD512-B766-4F45-A8AC-8DF63E81D381}" name="Type" dataDxfId="102"/>
    <tableColumn id="2" xr3:uid="{4024DE74-E141-4596-B95A-EA43D225A5A6}" name="Unit" dataDxfId="101"/>
  </tableColumns>
  <tableStyleInfo name="TableStyleMedium20" showFirstColumn="0" showLastColumn="0" showRowStripes="1" showColumnStripes="0"/>
</table>
</file>

<file path=xl/tables/table8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6" xr:uid="{206531A9-32F5-4CDC-9EED-5F787F86C2DE}" name="Tabla76848719516367" displayName="Tabla76848719516367" ref="G65:H66" totalsRowShown="0" dataDxfId="100" tableBorderDxfId="99">
  <autoFilter ref="G65:H66" xr:uid="{206531A9-32F5-4CDC-9EED-5F787F86C2DE}"/>
  <tableColumns count="2">
    <tableColumn id="1" xr3:uid="{324DC0D0-B2F3-4FC6-BD97-D6812756E7A3}" name="Type" dataDxfId="98"/>
    <tableColumn id="2" xr3:uid="{9A5AC330-272C-4722-B2CE-C1BBE3C739B1}" name="Unit" dataDxfId="97"/>
  </tableColumns>
  <tableStyleInfo name="TableStyleMedium20" showFirstColumn="0" showLastColumn="0" showRowStripes="1" showColumnStripes="0"/>
</table>
</file>

<file path=xl/tables/table8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5EE724BA-7399-4BCA-902B-21027B9D7B47}" name="Tabla76848719512" displayName="Tabla76848719512" ref="G74:H75" totalsRowShown="0" dataDxfId="96" tableBorderDxfId="95">
  <autoFilter ref="G74:H75" xr:uid="{5EE724BA-7399-4BCA-902B-21027B9D7B47}"/>
  <tableColumns count="2">
    <tableColumn id="1" xr3:uid="{6DE04B22-A1EE-417E-A660-DE2BB9CF10E3}" name="Type" dataDxfId="94"/>
    <tableColumn id="2" xr3:uid="{577EED83-F443-4F13-ACB5-565C3A8D68C6}" name="Unit" dataDxfId="93"/>
  </tableColumns>
  <tableStyleInfo name="TableStyleMedium20" showFirstColumn="0" showLastColumn="0" showRowStripes="1" showColumnStripes="0"/>
</table>
</file>

<file path=xl/tables/table8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0" xr:uid="{75609FDC-F153-443D-93BB-5A17084E472A}" name="Tabla495041" displayName="Tabla495041" ref="C70:D72" totalsRowShown="0" dataDxfId="92">
  <autoFilter ref="C70:D72" xr:uid="{75609FDC-F153-443D-93BB-5A17084E472A}"/>
  <tableColumns count="2">
    <tableColumn id="1" xr3:uid="{3895335B-BAB8-447A-A9C5-3005EF99C6A4}" name="Name" dataDxfId="91"/>
    <tableColumn id="2" xr3:uid="{1645C4E9-2A22-416E-B96F-223868AE513C}" name="Lang" dataDxfId="90"/>
  </tableColumns>
  <tableStyleInfo name="TableStyleMedium2" showFirstColumn="0" showLastColumn="0" showRowStripes="1" showColumnStripes="0"/>
</table>
</file>

<file path=xl/tables/table8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1" xr:uid="{960A6D93-C090-4AD3-A8C6-343368919DE9}" name="Tabla651318942" displayName="Tabla651318942" ref="C83:D85" tableType="xml" totalsRowShown="0" dataDxfId="89">
  <autoFilter ref="C83:D85" xr:uid="{960A6D93-C090-4AD3-A8C6-343368919DE9}"/>
  <tableColumns count="2">
    <tableColumn id="1" xr3:uid="{00827203-7648-4A7B-988C-DA397B0316B9}" uniqueName="ns1:content" name="Name" dataDxfId="88">
      <xmlColumnPr mapId="4" xpath="/ns1:digitalCalibrationCertificate/ns1:measurementResults/ns1:measurementResult/ns1:results/ns1:resultOnce/ns1:name/ns1:content" xmlDataType="string"/>
    </tableColumn>
    <tableColumn id="2" xr3:uid="{BB6C94EE-6014-4310-B2E9-D546EA9B2018}" uniqueName="lang" name="Lang" dataDxfId="87">
      <xmlColumnPr mapId="4" xpath="/ns1:digitalCalibrationCertificate/ns1:measurementResults/ns1:measurementResult/ns1:results/ns1:resultOnce/ns1:name/ns1:content/@lang" xmlDataType="string"/>
    </tableColumn>
  </tableColumns>
  <tableStyleInfo name="TableStyleMedium2" showFirstColumn="0" showLastColumn="0" showRowStripes="1" showColumnStripes="0"/>
</table>
</file>

<file path=xl/tables/table9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2" xr:uid="{9A895706-F6F8-4C34-B808-25AAF54C2D50}" name="Tabla6630769043" displayName="Tabla6630769043" ref="F83:G85" totalsRowShown="0" dataDxfId="86">
  <autoFilter ref="F83:G85" xr:uid="{9A895706-F6F8-4C34-B808-25AAF54C2D50}"/>
  <tableColumns count="2">
    <tableColumn id="1" xr3:uid="{24AE7961-874B-4F46-83FC-33AD1B099A2D}" name="Description" dataDxfId="85"/>
    <tableColumn id="2" xr3:uid="{C680D2CB-219D-46AE-B554-F59F5B6748FD}" name="Lang" dataDxfId="84"/>
  </tableColumns>
  <tableStyleInfo name="TableStyleMedium9" showFirstColumn="0" showLastColumn="0" showRowStripes="1" showColumnStripes="0"/>
</table>
</file>

<file path=xl/tables/table9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3" xr:uid="{6FDE3C68-E639-48C2-9F44-64A5E86841D7}" name="Tabla2144" displayName="Tabla2144" ref="F87:F88" totalsRowShown="0" headerRowDxfId="83" dataDxfId="82">
  <autoFilter ref="F87:F88" xr:uid="{6FDE3C68-E639-48C2-9F44-64A5E86841D7}"/>
  <tableColumns count="1">
    <tableColumn id="1" xr3:uid="{E4732570-37B7-4DFA-915D-5B92D56DFF45}" name="Formula" dataDxfId="81"/>
  </tableColumns>
  <tableStyleInfo name="TableStyleLight13" showFirstColumn="0" showLastColumn="0" showRowStripes="1" showColumnStripes="0"/>
</table>
</file>

<file path=xl/tables/table9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4" xr:uid="{E8B35C13-250B-47BD-9D7D-351BE4A38BA5}" name="Tabla4945" displayName="Tabla4945" ref="C94:D96" totalsRowShown="0" dataDxfId="80">
  <autoFilter ref="C94:D96" xr:uid="{E8B35C13-250B-47BD-9D7D-351BE4A38BA5}"/>
  <tableColumns count="2">
    <tableColumn id="1" xr3:uid="{C56B5BE4-F39C-4C49-B43E-A2187F7A9006}" name="Name" dataDxfId="79"/>
    <tableColumn id="2" xr3:uid="{3ACE217B-EBC5-4DBE-85E0-4781F7C9A2A8}" name="Lang" dataDxfId="78"/>
  </tableColumns>
  <tableStyleInfo name="TableStyleMedium2" showFirstColumn="0" showLastColumn="0" showRowStripes="1" showColumnStripes="0"/>
</table>
</file>

<file path=xl/tables/table9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9" xr:uid="{E530623E-EC6A-45EB-8FA7-963B257AD4DC}" name="Tabla7684871960" displayName="Tabla7684871960" ref="G98:H99" totalsRowShown="0" dataDxfId="77" tableBorderDxfId="76">
  <autoFilter ref="G98:H99" xr:uid="{E530623E-EC6A-45EB-8FA7-963B257AD4DC}"/>
  <tableColumns count="2">
    <tableColumn id="1" xr3:uid="{DCEE1170-1BD9-4BAD-8520-E6E3FE4119EB}" name="Type" dataDxfId="75"/>
    <tableColumn id="2" xr3:uid="{15B5986D-7B6F-42B1-8DCE-9E8DFE6126FF}" name="Unit" dataDxfId="74"/>
  </tableColumns>
  <tableStyleInfo name="TableStyleMedium20" showFirstColumn="0" showLastColumn="0" showRowStripes="1" showColumnStripes="0"/>
</table>
</file>

<file path=xl/tables/table9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0" xr:uid="{974F8511-2F83-42A2-8B00-83D7647C3466}" name="Tabla495071" displayName="Tabla495071" ref="C105:D107" totalsRowShown="0" headerRowDxfId="73" dataDxfId="72">
  <autoFilter ref="C105:D107" xr:uid="{974F8511-2F83-42A2-8B00-83D7647C3466}"/>
  <tableColumns count="2">
    <tableColumn id="1" xr3:uid="{EBDC6DAE-8572-49C7-8932-1B97CBFF4BA0}" name="Nombre" dataDxfId="71"/>
    <tableColumn id="2" xr3:uid="{21DBFC83-C9CA-4C24-804A-DE778A352F89}" name="Idioma" dataDxfId="70"/>
  </tableColumns>
  <tableStyleInfo name="TableStyleMedium2" showFirstColumn="0" showLastColumn="0" showRowStripes="1" showColumnStripes="0"/>
</table>
</file>

<file path=xl/tables/table9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71" xr:uid="{B5326D1A-23B1-44EF-890E-616ABC5A0FE1}" name="Tabla768487195172" displayName="Tabla768487195172" ref="G109:H110" totalsRowShown="0" dataDxfId="69" tableBorderDxfId="68">
  <autoFilter ref="G109:H110" xr:uid="{B5326D1A-23B1-44EF-890E-616ABC5A0FE1}"/>
  <tableColumns count="2">
    <tableColumn id="1" xr3:uid="{2CCE5692-6D5A-4416-8EDB-2D73F28D3976}" name="Type" dataDxfId="67"/>
    <tableColumn id="2" xr3:uid="{DED4912F-47EA-4C37-8E9E-06B0E5C95D86}" name="Unit" dataDxfId="66"/>
  </tableColumns>
  <tableStyleInfo name="TableStyleMedium20" showFirstColumn="0" showLastColumn="0" showRowStripes="1" showColumnStripes="0"/>
</table>
</file>

<file path=xl/tables/table9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28" xr:uid="{C6080803-0EF1-40C9-8133-BDB563B2B169}" name="Tabla128" displayName="Tabla128" ref="E53:H55" tableType="xml" totalsRowShown="0" tableBorderDxfId="65">
  <autoFilter ref="E53:H55" xr:uid="{C6080803-0EF1-40C9-8133-BDB563B2B169}"/>
  <tableColumns count="4">
    <tableColumn id="1" xr3:uid="{B3A438CE-A77A-4FEB-AB55-ABB68280A223}" uniqueName="refType" name="refType" dataDxfId="64">
      <xmlColumnPr mapId="4" xpath="/ns1:digitalCalibrationCertificate/ns1:measurementResults/ns1:measurementResult/ns1:results/ns1:result/ns1:data/ns1:quantityOther/ns1:measurementMetaData/ns1:metaData/ns1:data/ns1:quantity/@refType" xmlDataType="string"/>
    </tableColumn>
    <tableColumn id="2" xr3:uid="{41ADB4A2-C3CA-473C-8567-BC27BC530C70}" uniqueName="2" name="Label" dataDxfId="63"/>
    <tableColumn id="3" xr3:uid="{4FC547A1-9820-4131-93E9-D588AA70FE8C}" uniqueName="ns2:value" name="Value" dataDxfId="62">
      <xmlColumnPr mapId="4" xpath="/ns1:digitalCalibrationCertificate/ns1:measurementResults/ns1:measurementResult/ns1:results/ns1:result/ns1:data/ns1:quantityOther/ns1:measurementMetaData/ns1:metaData/ns1:data/ns1:quantity/ns2:real/ns2:value" xmlDataType="double"/>
    </tableColumn>
    <tableColumn id="4" xr3:uid="{9C933F3A-5838-431D-AAFD-C0EA30F8EB43}" uniqueName="ns2:unit" name="Unit (Platinum)" dataDxfId="61">
      <calculatedColumnFormula array="1">_xlfn.XLOOKUP($H58,INDIRECT($G58),INDIRECT($G58&amp;"_Platino"),"No Existe")</calculatedColumnFormula>
      <xmlColumnPr mapId="4" xpath="/ns1:digitalCalibrationCertificate/ns1:measurementResults/ns1:measurementResult/ns1:results/ns1:result/ns1:data/ns1:quantityOther/ns1:measurementMetaData/ns1:metaData/ns1:data/ns1:quantity/ns2:real/ns2:unit" xmlDataType="string"/>
    </tableColumn>
  </tableColumns>
  <tableStyleInfo name="TableStyleMedium2" showFirstColumn="0" showLastColumn="0" showRowStripes="1" showColumnStripes="0"/>
</table>
</file>

<file path=xl/tables/table9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4" xr:uid="{B00111FE-B19C-4F29-A32E-E44BE715DB17}" name="Tabla4" displayName="Tabla4" ref="B24:AE25" totalsRowShown="0">
  <autoFilter ref="B24:AE25" xr:uid="{B00111FE-B19C-4F29-A32E-E44BE715DB17}"/>
  <tableColumns count="30">
    <tableColumn id="1" xr3:uid="{CDAF2D0C-C6F3-4BBF-BD5E-0DBAC9C65132}" name="refTypeResult"/>
    <tableColumn id="2" xr3:uid="{B40548E9-17BC-4B3A-95AB-17897C058D62}" name="Name"/>
    <tableColumn id="3" xr3:uid="{D521A2C9-D8DE-49D8-B3C0-83DBBB31E392}" name="lang"/>
    <tableColumn id="4" xr3:uid="{2EB58233-463D-4AEA-839C-1198DF593849}" name="refTypeNominalValue"/>
    <tableColumn id="5" xr3:uid="{98751237-7486-46EA-A593-065BB2DC7C40}" name="Nominal Value"/>
    <tableColumn id="6" xr3:uid="{228FC221-BF35-464F-9F4F-2262CD8C3BCD}" name="LangNominal"/>
    <tableColumn id="7" xr3:uid="{3FCAC091-8E4E-4B99-A270-DAE81D995238}" name="Value"/>
    <tableColumn id="8" xr3:uid="{FFAC96BB-6B3E-4622-A1F9-CC0823630E97}" name="Unit"/>
    <tableColumn id="9" xr3:uid="{07370DD8-B63B-48DF-AB28-51ED1E6872C4}" name="refTypeMeasuredValue" dataDxfId="60"/>
    <tableColumn id="10" xr3:uid="{1FFA44A7-C638-4D6C-A7F9-9F6B3BA9F0A4}" name="MeasuredValue"/>
    <tableColumn id="11" xr3:uid="{FEAB3EF8-5BEC-456C-BC8D-CA238E1FA06B}" name="Unit2" dataDxfId="59"/>
    <tableColumn id="15" xr3:uid="{0993C72D-F0BA-4050-9EC7-3DE4AB50E14A}" name="ExpandedUncertainty"/>
    <tableColumn id="16" xr3:uid="{A9394496-D7F4-42D2-B61E-CA30644A222C}" name="CoverageFactor"/>
    <tableColumn id="17" xr3:uid="{BF3298F7-B004-46D5-B97F-38856853F1F0}" name="CoverageProbability" dataDxfId="58"/>
    <tableColumn id="18" xr3:uid="{74E0FE31-31C0-4C92-811C-A8C8324D6980}" name="refTypeConformity" dataDxfId="57"/>
    <tableColumn id="19" xr3:uid="{ECF259D8-735D-4B00-BDD4-22EE2D3B7C1F}" name="Convention"/>
    <tableColumn id="20" xr3:uid="{A8A0A478-11F3-4DF3-AC02-3459718BDAE9}" name="Norm"/>
    <tableColumn id="21" xr3:uid="{CBFB068A-5040-4004-AE5F-625A905C37E9}" name="Conformity"/>
    <tableColumn id="22" xr3:uid="{1A657553-314F-4155-AB7F-67BC5A82E2E9}" name="refTypeLower"/>
    <tableColumn id="23" xr3:uid="{E21B27FD-1E9E-49DE-AD51-B333A976ADF1}" name="ns2:value3"/>
    <tableColumn id="24" xr3:uid="{50C88FF6-0440-47C0-9F7E-3C65230AF228}" name="ns2:unit3"/>
    <tableColumn id="25" xr3:uid="{92D0B83D-B54B-4CFD-B04A-E349B3110F3E}" name="refTypeUpper"/>
    <tableColumn id="26" xr3:uid="{11B2C18B-779E-4A76-9FED-6800806CA58B}" name="ns2:value4"/>
    <tableColumn id="27" xr3:uid="{70019941-C992-4321-ABD0-B8EB7B4D0828}" name="ns2:unit4"/>
    <tableColumn id="28" xr3:uid="{99659A7C-9F68-40F6-8ACB-D7B1CFB8DA88}" name="refTypeError"/>
    <tableColumn id="29" xr3:uid="{1041B5D4-94B0-4104-8E68-976CBA1347A1}" name="ns2:value5"/>
    <tableColumn id="30" xr3:uid="{FC97CCB4-C239-4F12-86F6-2C1D6740EBFB}" name="ns2:unit5"/>
    <tableColumn id="31" xr3:uid="{B80DA2B0-AA70-4D81-971B-142358C365B7}" name="ns2:uncertainty2"/>
    <tableColumn id="32" xr3:uid="{01FC7186-403C-4A4B-B72E-A52903E51937}" name="ns2:coverageFactor2"/>
    <tableColumn id="33" xr3:uid="{605AFC55-9512-4BFD-A8F0-2B585102F345}" name="ns2:coverageProbability2"/>
  </tableColumns>
  <tableStyleInfo name="TableStyleMedium2" showFirstColumn="0" showLastColumn="0" showRowStripes="1" showColumnStripes="0"/>
</table>
</file>

<file path=xl/tables/table9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5" xr:uid="{4D12D77D-E369-426E-A3D7-4AE3C351AF1C}" name="Tabla5" displayName="Tabla5" ref="B8:G10" totalsRowShown="0">
  <autoFilter ref="B8:G10" xr:uid="{4D12D77D-E369-426E-A3D7-4AE3C351AF1C}"/>
  <tableColumns count="6">
    <tableColumn id="4" xr3:uid="{8B44F01C-26D7-4833-9F07-C5ABFBBB1DD1}" name="refType"/>
    <tableColumn id="5" xr3:uid="{3BDC7B18-AAA7-40C2-A256-195DD155F403}" name="Method"/>
    <tableColumn id="6" xr3:uid="{2D461A83-0709-4E76-9A8B-39E263B1D034}" name="LangMeth" dataDxfId="56"/>
    <tableColumn id="1" xr3:uid="{A03C1A2E-0F35-48F7-B2B8-8F42F1A19E49}" name="Description"/>
    <tableColumn id="2" xr3:uid="{82DF255D-61DE-4168-A126-567B3644485A}" name="LangDescr"/>
    <tableColumn id="3" xr3:uid="{C1B8C271-254B-4CCE-B5F0-972729DF8BC9}" name="Norm"/>
  </tableColumns>
  <tableStyleInfo name="TableStyleMedium2" showFirstColumn="0" showLastColumn="0" showRowStripes="1" showColumnStripes="0"/>
</table>
</file>

<file path=xl/tables/table9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7B6C4CF9-2DEA-44B0-BC68-B68D2754A1DD}" name="Tabla2" displayName="Tabla2" ref="C13:D14" totalsRowShown="0">
  <autoFilter ref="C13:D14" xr:uid="{7B6C4CF9-2DEA-44B0-BC68-B68D2754A1DD}"/>
  <tableColumns count="2">
    <tableColumn id="1" xr3:uid="{12CD8CC8-BC76-4026-B9EC-312C2A3B61C9}" name="MeasuringEquipment"/>
    <tableColumn id="2" xr3:uid="{31BF4492-E115-469B-A928-4183220BD8B2}" name="lang"/>
  </tableColumns>
  <tableStyleInfo name="TableStyleMedium2" showFirstColumn="0" showLastColumn="0" showRowStripes="1" showColumnStripes="0"/>
</table>
</file>

<file path=xl/tables/table10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6" xr:uid="{5287009B-70AA-40C9-BDDF-84A96BED2E06}" name="Tabla6" displayName="Tabla6" ref="B17:O21" totalsRowShown="0">
  <autoFilter ref="B17:O21" xr:uid="{5287009B-70AA-40C9-BDDF-84A96BED2E06}"/>
  <tableColumns count="14">
    <tableColumn id="1" xr3:uid="{1FDA8E5E-899B-44E6-BDD8-CAA93C954A37}" name="refType"/>
    <tableColumn id="2" xr3:uid="{458A1C76-C3AB-4889-A49B-6B358399BDA1}" name="InfluenceCondition"/>
    <tableColumn id="3" xr3:uid="{E09D88A6-3698-47EA-BD6A-D2C8E6EEB814}" name="Lang"/>
    <tableColumn id="4" xr3:uid="{EE549F12-D467-4C99-BD5A-3D53D14679C2}" name="Referral"/>
    <tableColumn id="5" xr3:uid="{2BDF8437-BDFB-4399-9CF2-E73A0FD63AFA}" name="lang2"/>
    <tableColumn id="6" xr3:uid="{14C8E6D7-CE62-4A1F-B58D-5C48C9C868C8}" name="ReferralID"/>
    <tableColumn id="7" xr3:uid="{63FD8CE5-DB26-4149-9A50-E028385E9C5A}" name="Procedure"/>
    <tableColumn id="8" xr3:uid="{147DA4E0-A84E-4D09-BD71-598841846FAC}" name="Value"/>
    <tableColumn id="9" xr3:uid="{BCBC9DC4-0354-4052-8235-EB5768F3C11B}" name="refType2"/>
    <tableColumn id="10" xr3:uid="{B9F3DE04-2F4F-4926-B4B0-09B1983A67BD}" name="Value2"/>
    <tableColumn id="11" xr3:uid="{306CAFE4-98D3-4309-8F2B-326C639FF4D4}" name="Unit"/>
    <tableColumn id="12" xr3:uid="{A146871E-A507-43BB-ACD4-1995C85CEF76}" name="ExpandedMUncertainty"/>
    <tableColumn id="13" xr3:uid="{9C6848ED-23EE-483F-8DC7-BF097760973A}" name="CoverageFactor"/>
    <tableColumn id="14" xr3:uid="{92DD6E93-34F2-40D6-BB63-FFC267949265}" name="CoverageProbability"/>
  </tableColumns>
  <tableStyleInfo name="TableStyleMedium2" showFirstColumn="0" showLastColumn="0" showRowStripes="1" showColumnStripes="0"/>
</table>
</file>

<file path=xl/tables/table10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1" xr:uid="{216FA31F-EAD9-4A92-ADDD-D2656AD2B544}" name="Tabla12512" displayName="Tabla12512" ref="F4:H5" totalsRowShown="0" headerRowDxfId="55" dataDxfId="54" tableBorderDxfId="53">
  <autoFilter ref="F4:H5" xr:uid="{216FA31F-EAD9-4A92-ADDD-D2656AD2B544}"/>
  <tableColumns count="3">
    <tableColumn id="1" xr3:uid="{81F4319C-69FE-48CA-BF73-4EC8711238DB}" name="Nombre" dataDxfId="52"/>
    <tableColumn id="2" xr3:uid="{49B3D84C-887A-4CC4-9966-35A7D1FF7356}" name="Release" dataDxfId="51"/>
    <tableColumn id="3" xr3:uid="{70BC6C2A-E41B-40A5-9E45-9739D102C6C2}" name="ns1:type" dataDxfId="50"/>
  </tableColumns>
  <tableStyleInfo name="TableStyleMedium2" showFirstColumn="0" showLastColumn="0" showRowStripes="1" showColumnStripes="0"/>
</table>
</file>

<file path=xl/tables/table10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0" xr:uid="{870A309B-DD12-4B6E-950E-91032AA7F4B0}" name="Tabla6531" displayName="Tabla6531" ref="C4:D5" totalsRowShown="0" headerRowDxfId="49" dataDxfId="48">
  <autoFilter ref="C4:D5" xr:uid="{870A309B-DD12-4B6E-950E-91032AA7F4B0}"/>
  <tableColumns count="2">
    <tableColumn id="1" xr3:uid="{692FC95E-FC7A-4301-8299-C9EA1893201B}" name="Nombre" dataDxfId="47"/>
    <tableColumn id="2" xr3:uid="{7FCED694-87A8-4AE7-80C5-DFB18FCB554F}" name="Idioma" dataDxfId="46"/>
  </tableColumns>
  <tableStyleInfo name="TableStyleMedium2" showFirstColumn="0" showLastColumn="0" showRowStripes="1" showColumnStripes="0"/>
</table>
</file>

<file path=xl/tables/table10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7" xr:uid="{761FBD22-ABD9-4DE4-9166-28B7887FCEFD}" name="Tabla653118" displayName="Tabla653118" ref="C30:D31" totalsRowShown="0" headerRowDxfId="45" dataDxfId="44">
  <autoFilter ref="C30:D31" xr:uid="{761FBD22-ABD9-4DE4-9166-28B7887FCEFD}"/>
  <tableColumns count="2">
    <tableColumn id="1" xr3:uid="{DC9AAD2D-15EB-4559-A9BA-6D09E1A1DC10}" name="Nombre" dataDxfId="43"/>
    <tableColumn id="2" xr3:uid="{30A34A78-8872-4B86-A9E4-9013C6E28562}" name="Idioma" dataDxfId="42"/>
  </tableColumns>
  <tableStyleInfo name="TableStyleMedium2" showFirstColumn="0" showLastColumn="0" showRowStripes="1" showColumnStripes="0"/>
</table>
</file>

<file path=xl/tables/table10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0" xr:uid="{E4D77475-3A75-4743-933C-D3179AFFD8D3}" name="Tabla421" displayName="Tabla421" ref="B50:AE51" totalsRowShown="0">
  <autoFilter ref="B50:AE51" xr:uid="{E4D77475-3A75-4743-933C-D3179AFFD8D3}"/>
  <tableColumns count="30">
    <tableColumn id="1" xr3:uid="{62961DE2-E8CF-45CA-B84B-C5FEF444FC8D}" name="refTypeResult" dataDxfId="41"/>
    <tableColumn id="2" xr3:uid="{7E5284CB-8041-4E5F-B493-8E56E990180F}" name="Name" dataDxfId="40"/>
    <tableColumn id="3" xr3:uid="{C833E3C7-9D4E-454F-92DC-083759E49F32}" name="lang" dataDxfId="39"/>
    <tableColumn id="4" xr3:uid="{98CA73CF-F795-4954-AED4-300E34177EA4}" name="refTypeNominalValue" dataDxfId="38"/>
    <tableColumn id="5" xr3:uid="{4414C2C0-A9A6-49C2-B2BE-434361315C33}" name="Nominal Value" dataDxfId="37"/>
    <tableColumn id="6" xr3:uid="{D22CF67A-DCA2-448A-9172-D8E9B1AC37B6}" name="LangNominal" dataDxfId="36"/>
    <tableColumn id="7" xr3:uid="{B77DEE79-6E57-4619-A1A3-44043954F09D}" name="Value"/>
    <tableColumn id="8" xr3:uid="{7C3AC74B-EB37-4C6F-95C9-C39801019076}" name="Unit" dataDxfId="35"/>
    <tableColumn id="9" xr3:uid="{CC6D030D-D0C7-4537-8A53-9D3225B99556}" name="refTypeMeasuredValue" dataDxfId="34"/>
    <tableColumn id="10" xr3:uid="{8617DD4A-CEEB-4B7E-BD58-79EA50F2037B}" name="MeasuredValue"/>
    <tableColumn id="11" xr3:uid="{7958CA51-466F-4E4E-AF0C-F5795D22A23F}" name="Unit2" dataDxfId="33"/>
    <tableColumn id="15" xr3:uid="{43385FC8-A6D8-4A85-91A2-A97DC1711134}" name="ExpandedUncertainty" dataDxfId="32"/>
    <tableColumn id="16" xr3:uid="{A228F2CD-F459-46D9-8A98-1E82A1729B05}" name="CoverageFactor"/>
    <tableColumn id="17" xr3:uid="{B8917E02-A5C3-4A2D-A1A7-4C8EC1C69271}" name="CoverageProbability" dataDxfId="31"/>
    <tableColumn id="18" xr3:uid="{2A3D08A8-D439-4600-8479-C337A1298B2E}" name="refTypeConformity" dataDxfId="30"/>
    <tableColumn id="19" xr3:uid="{01375C72-5385-4761-81AB-AF0E7039670F}" name="Convention" dataDxfId="29"/>
    <tableColumn id="20" xr3:uid="{7DE1C76C-C1C8-46CE-AB7E-64876B4CBD79}" name="Norm" dataDxfId="28"/>
    <tableColumn id="21" xr3:uid="{CC710B59-50A8-4904-A3B2-67650599AA1D}" name="Conformity" dataDxfId="27"/>
    <tableColumn id="22" xr3:uid="{72DC3DE3-4545-41FA-8FB7-68FEE2EC5374}" name="refTypeLower" dataDxfId="26"/>
    <tableColumn id="23" xr3:uid="{2AF0BD31-F655-4D42-ACC5-58ECCDB39BF7}" name="ns2:value3"/>
    <tableColumn id="24" xr3:uid="{5A5CA42A-97A3-464B-80BC-167F96D9FD56}" name="ns2:unit3" dataDxfId="25"/>
    <tableColumn id="25" xr3:uid="{8A368C9E-02CD-4D5F-BBDC-211F7A35B122}" name="refTypeUpper" dataDxfId="24"/>
    <tableColumn id="26" xr3:uid="{FD4CF31C-4E66-4E6F-BBC8-983008A9C4F1}" name="ns2:value4"/>
    <tableColumn id="27" xr3:uid="{53863F0B-3182-422E-8ADE-17E8756A1E98}" name="ns2:unit4" dataDxfId="23"/>
    <tableColumn id="28" xr3:uid="{6D8AFF0A-B2F8-4A8F-9688-2CE595EDB55F}" name="refTypeError" dataDxfId="22"/>
    <tableColumn id="29" xr3:uid="{DF8CC1C1-BE75-4BF7-B405-F07AC34B9150}" name="ns2:value5"/>
    <tableColumn id="30" xr3:uid="{D08FB0AE-214A-4821-AA97-47CBBBD5041B}" name="ns2:unit5" dataDxfId="21"/>
    <tableColumn id="31" xr3:uid="{CB0402C5-76D2-4DCA-A854-65957CC249C0}" name="ns2:uncertainty2"/>
    <tableColumn id="32" xr3:uid="{3D0C00B0-B168-4F0D-A3B7-6D32980D2142}" name="ns2:coverageFactor2"/>
    <tableColumn id="33" xr3:uid="{DDF8444A-92BE-4CC8-84D7-B9078A45FA93}" name="ns2:coverageProbability2"/>
  </tableColumns>
  <tableStyleInfo name="TableStyleMedium2" showFirstColumn="0" showLastColumn="0" showRowStripes="1" showColumnStripes="0"/>
</table>
</file>

<file path=xl/tables/table10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6" xr:uid="{83806A39-93AE-4298-827C-45AA5E9D8E6D}" name="Tabla527" displayName="Tabla527" ref="B34:G36" totalsRowShown="0">
  <autoFilter ref="B34:G36" xr:uid="{83806A39-93AE-4298-827C-45AA5E9D8E6D}"/>
  <tableColumns count="6">
    <tableColumn id="4" xr3:uid="{A5871AA3-B6D9-44D1-AC50-FA49585BE258}" name="refType"/>
    <tableColumn id="5" xr3:uid="{B1CEBA32-B21C-44C9-98C7-5E265AACFE4C}" name="Method"/>
    <tableColumn id="6" xr3:uid="{6438DD0C-6D6C-4FB2-B458-5D7C577F4398}" name="LangMeth" dataDxfId="20"/>
    <tableColumn id="1" xr3:uid="{9ECE01EC-8B2F-45FC-8A66-4B9F736F705D}" name="Description"/>
    <tableColumn id="2" xr3:uid="{7A2ACD4B-902B-4C35-90C7-C7BC1B51D58F}" name="LangDescr"/>
    <tableColumn id="3" xr3:uid="{D2AE6D7C-1D3F-4656-8FE6-42F56D63FB21}" name="Norm"/>
  </tableColumns>
  <tableStyleInfo name="TableStyleMedium2" showFirstColumn="0" showLastColumn="0" showRowStripes="1" showColumnStripes="0"/>
</table>
</file>

<file path=xl/tables/table10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7" xr:uid="{181583E5-5E23-4CFB-9B61-9CBB24E8B63C}" name="Tabla228" displayName="Tabla228" ref="C39:D40" totalsRowShown="0">
  <autoFilter ref="C39:D40" xr:uid="{181583E5-5E23-4CFB-9B61-9CBB24E8B63C}"/>
  <tableColumns count="2">
    <tableColumn id="1" xr3:uid="{FCCF426C-9EC2-4590-92C8-7469DEC81100}" name="MeasuringEquipment"/>
    <tableColumn id="2" xr3:uid="{10AE15A8-B887-4A1D-B572-E3082B180268}" name="lang"/>
  </tableColumns>
  <tableStyleInfo name="TableStyleMedium2" showFirstColumn="0" showLastColumn="0" showRowStripes="1" showColumnStripes="0"/>
</table>
</file>

<file path=xl/tables/table10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5" xr:uid="{FA41A2A1-170C-458D-A4ED-DE3CD95EFEE4}" name="Tabla636" displayName="Tabla636" ref="B43:O47" totalsRowShown="0">
  <autoFilter ref="B43:O47" xr:uid="{FA41A2A1-170C-458D-A4ED-DE3CD95EFEE4}"/>
  <tableColumns count="14">
    <tableColumn id="1" xr3:uid="{A541DA50-E542-442C-A57F-F91C57719929}" name="refType" dataDxfId="19"/>
    <tableColumn id="2" xr3:uid="{B94D9BA7-C3E2-4B15-AE6A-B2D8FEBBBDD1}" name="InfluenceCondition" dataDxfId="18"/>
    <tableColumn id="3" xr3:uid="{9614017C-8AAE-4E48-876A-C159E075E5AA}" name="Lang" dataDxfId="17"/>
    <tableColumn id="4" xr3:uid="{77595EC4-CAE4-4F13-8476-C7FA85E7BE23}" name="Referral" dataDxfId="16"/>
    <tableColumn id="5" xr3:uid="{C7CEF9A2-9584-4CA0-8768-BE3A673D7CF6}" name="lang2" dataDxfId="15"/>
    <tableColumn id="6" xr3:uid="{586EF7AB-D9D8-44D1-A13C-D08DB0306C71}" name="ReferralID" dataDxfId="14"/>
    <tableColumn id="7" xr3:uid="{9B9F7CC3-D4C9-4A25-8124-1FB88CF25FDA}" name="Procedure" dataDxfId="13"/>
    <tableColumn id="8" xr3:uid="{E1E7654A-5310-45A5-9846-D593F72E81AC}" name="Value" dataDxfId="12"/>
    <tableColumn id="9" xr3:uid="{EC180326-9761-48E3-ACB6-56CF64F0006B}" name="refType2" dataDxfId="11"/>
    <tableColumn id="10" xr3:uid="{97861349-A149-4BA5-9D03-1B615A0280AF}" name="Value2"/>
    <tableColumn id="11" xr3:uid="{8B811FFC-7101-44F5-A399-3368A9898172}" name="Unit" dataDxfId="10"/>
    <tableColumn id="12" xr3:uid="{D4966358-F61D-456C-8E51-53B074D36F2D}" name="ExpandedMUncertainty"/>
    <tableColumn id="13" xr3:uid="{177114BD-42E8-4378-90B2-0B3E9E77DD77}" name="CoverageFactor"/>
    <tableColumn id="14" xr3:uid="{20B47B83-9310-4130-B9A1-B256B632BC93}" name="CoverageProbability"/>
  </tableColumns>
  <tableStyleInfo name="TableStyleMedium2" showFirstColumn="0" showLastColumn="0" showRowStripes="1" showColumnStripes="0"/>
</table>
</file>

<file path=xl/tables/table108.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4" xr:uid="{A5A399F0-0AC2-466E-ABBC-68CC4A98C5ED}" name="emisor" displayName="emisor" ref="B8:B13" totalsRowShown="0">
  <autoFilter ref="B8:B13" xr:uid="{A5A399F0-0AC2-466E-ABBC-68CC4A98C5ED}"/>
  <tableColumns count="1">
    <tableColumn id="1" xr3:uid="{BC97AB03-1EB9-476A-AF71-A17327DDE042}" name="ISSUER"/>
  </tableColumns>
  <tableStyleInfo name="TableStyleMedium17" showFirstColumn="0" showLastColumn="0" showRowStripes="1" showColumnStripes="0"/>
</table>
</file>

<file path=xl/tables/table109.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5" xr:uid="{77B1EB62-74F8-4F6E-B18C-B54EF2B598C4}" name="Table2226" displayName="Table2226" ref="D2:I25" totalsRowShown="0" headerRowDxfId="9">
  <autoFilter ref="D2:I25" xr:uid="{77B1EB62-74F8-4F6E-B18C-B54EF2B598C4}"/>
  <tableColumns count="6">
    <tableColumn id="1" xr3:uid="{5DD3C2DE-DD57-41BB-BB69-3B49D1F4CEA1}" name="SI_base"/>
    <tableColumn id="3" xr3:uid="{118D8C4F-4156-4EF8-88E9-18978355BA02}" name="Derived"/>
    <tableColumn id="5" xr3:uid="{882F0DD7-9920-404F-B6CD-2F960CF3037F}" name="non_SI"/>
    <tableColumn id="2" xr3:uid="{9CCC2755-259E-4030-96FF-92B7434A895A}" name="base_platino" dataDxfId="8"/>
    <tableColumn id="4" xr3:uid="{8EEB40B3-36A2-4050-A2F6-3BF92838DA0B}" name="derived_platino"/>
    <tableColumn id="6" xr3:uid="{5C9C7401-F736-4A93-903D-B5000C707237}" name="non_SI_Platino"/>
  </tableColumns>
  <tableStyleInfo name="TableStyleMedium20" showFirstColumn="0" showLastColumn="0" showRowStripes="1" showColumnStripes="0"/>
</table>
</file>

<file path=xl/tables/table110.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6" xr:uid="{C3871820-3858-49AB-9858-1C842623AC9C}" name="prefixTable227" displayName="prefixTable227" ref="Q2:R22" totalsRowShown="0">
  <autoFilter ref="Q2:R22" xr:uid="{C3871820-3858-49AB-9858-1C842623AC9C}"/>
  <tableColumns count="2">
    <tableColumn id="1" xr3:uid="{16E0EB1F-DB24-49F6-8779-3396B97266B0}" name="prefix"/>
    <tableColumn id="2" xr3:uid="{85C5AA35-3E5A-447E-9716-CCD48D1A75AB}" name="Factor" dataDxfId="7"/>
  </tableColumns>
  <tableStyleInfo name="TableStyleLight1" showFirstColumn="0" showLastColumn="0" showRowStripes="1" showColumnStripes="0"/>
</table>
</file>

<file path=xl/tables/table11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7" xr:uid="{9C0BE3D5-2E22-48AD-99C0-667B447E8297}" name="Tabla2228" displayName="Tabla2228" ref="B2:B5" totalsRowShown="0">
  <autoFilter ref="B2:B5" xr:uid="{9C0BE3D5-2E22-48AD-99C0-667B447E8297}"/>
  <tableColumns count="1">
    <tableColumn id="1" xr3:uid="{C42B17C2-9044-4ED6-B660-0F67FD65B22F}" name="Tipo Unidades"/>
  </tableColumns>
  <tableStyleInfo name="TableStyleMedium20" showFirstColumn="0" showLastColumn="0" showRowStripes="1" showColumnStripes="0"/>
</table>
</file>

<file path=xl/tables/table11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8" xr:uid="{46E4E7E3-FB0B-45C9-A715-359DF274FD79}" name="Tabla78229" displayName="Tabla78229" ref="B16:B20" totalsRowShown="0">
  <autoFilter ref="B16:B20" xr:uid="{46E4E7E3-FB0B-45C9-A715-359DF274FD79}"/>
  <tableColumns count="1">
    <tableColumn id="1" xr3:uid="{9D89359B-23EC-4664-9ABA-44F07114072D}" name="Status"/>
  </tableColumns>
  <tableStyleInfo name="TableStyleMedium17" showFirstColumn="0" showLastColumn="0" showRowStripes="1" showColumnStripes="0"/>
</table>
</file>

<file path=xl/tables/table11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29" xr:uid="{126FAE83-5A18-483C-A2C5-A55709C8FBC6}" name="Tabla80230" displayName="Tabla80230" ref="B23:B31" totalsRowShown="0">
  <autoFilter ref="B23:B31" xr:uid="{126FAE83-5A18-483C-A2C5-A55709C8FBC6}"/>
  <tableColumns count="1">
    <tableColumn id="1" xr3:uid="{8CA46525-DC69-4DBA-8EB7-EF5EFFFFEE99}" name="softwareType"/>
  </tableColumns>
  <tableStyleInfo name="TableStyleMedium17" showFirstColumn="0" showLastColumn="0" showRowStripes="1" showColumnStripes="0"/>
</table>
</file>

<file path=xl/tables/table114.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0" xr:uid="{41323957-1401-45F6-92C3-039E3A9C5680}" name="Tabla95231" displayName="Tabla95231" ref="B34:B40" totalsRowShown="0">
  <autoFilter ref="B34:B40" xr:uid="{41323957-1401-45F6-92C3-039E3A9C5680}"/>
  <tableColumns count="1">
    <tableColumn id="1" xr3:uid="{A89D08B2-236B-4556-87A7-057271BCEA51}" name="Conformity"/>
  </tableColumns>
  <tableStyleInfo name="TableStyleMedium17" showFirstColumn="0" showLastColumn="0" showRowStripes="1" showColumnStripes="0"/>
</table>
</file>

<file path=xl/tables/table115.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1" xr:uid="{5214DB84-56C5-4F97-AE68-15C38B2D6188}" name="Tabla76848748153232" displayName="Tabla76848748153232" ref="N2:O4" totalsRowShown="0" tableBorderDxfId="6">
  <autoFilter ref="N2:O4" xr:uid="{5214DB84-56C5-4F97-AE68-15C38B2D6188}"/>
  <tableColumns count="2">
    <tableColumn id="1" xr3:uid="{5DDE1039-492F-4AE1-B2AE-C751838F2924}" name="Tipo"/>
    <tableColumn id="2" xr3:uid="{18896D3C-EA1B-423F-86A4-249B275FD651}" name="Unidad"/>
  </tableColumns>
  <tableStyleInfo name="TableStyleMedium20" showFirstColumn="0" showLastColumn="0" showRowStripes="1" showColumnStripes="0"/>
</table>
</file>

<file path=xl/tables/table116.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2" xr:uid="{FEACD2FC-2733-4B26-935A-436089069AAD}" name="Tabla5233" displayName="Tabla5233" ref="K2:L54" totalsRowShown="0" headerRowDxfId="5" dataDxfId="3" headerRowBorderDxfId="4" tableBorderDxfId="2">
  <autoFilter ref="K2:L54" xr:uid="{FEACD2FC-2733-4B26-935A-436089069AAD}"/>
  <tableColumns count="2">
    <tableColumn id="1" xr3:uid="{A9028456-0665-4A8F-B160-003297B59BC6}" name="Unidades" dataDxfId="1"/>
    <tableColumn id="2" xr3:uid="{D77E3412-A6ED-46EA-A897-59F11B6195AC}" name="Platino" dataDxfId="0"/>
  </tableColumns>
  <tableStyleInfo name="TableStyleMedium20" showFirstColumn="0" showLastColumn="0" showRowStripes="1" showColumnStripes="0"/>
</table>
</file>

<file path=xl/tables/table117.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33" xr:uid="{6BD2FDCD-D263-446E-8F5F-4CB89197B440}" name="refTypesBasicos" displayName="refTypesBasicos" ref="D28:D81" totalsRowShown="0">
  <autoFilter ref="D28:D81" xr:uid="{6BD2FDCD-D263-446E-8F5F-4CB89197B440}"/>
  <tableColumns count="1">
    <tableColumn id="1" xr3:uid="{52A94106-902D-4949-BD36-897FF0193001}" name="refType_Basic"/>
  </tableColumns>
  <tableStyleInfo name="TableStyleMedium21" showFirstColumn="0" showLastColumn="0" showRowStripes="1" showColumnStripes="0"/>
</table>
</file>

<file path=xl/tables/tableSingleCells1.xml><?xml version="1.0" encoding="utf-8"?>
<singleXmlCells xmlns="http://schemas.openxmlformats.org/spreadsheetml/2006/main" xmlns:mc="http://schemas.openxmlformats.org/markup-compatibility/2006" xmlns:xr="http://schemas.microsoft.com/office/spreadsheetml/2014/revision" xmlns:xr3="http://schemas.microsoft.com/office/spreadsheetml/2016/revision3" xmlns:xr6="http://schemas.microsoft.com/office/spreadsheetml/2016/revision6" mc:Ignorable="xr xr3 xr6">
  <singleXmlCell id="19" xr6:uid="{6AC1E67C-4AE2-4EA3-B999-5DFB00313C94}" r="G4" connectionId="0">
    <xmlCellPr id="1" xr6:uid="{B3D1083F-825E-42AC-95CA-250E35982D0B}" uniqueName="schemaVersion">
      <xmlPr mapId="4" xpath="/ns1:digitalCalibrationCertificate/@schemaVersion" xmlDataType="string"/>
    </xmlCellPr>
  </singleXmlCell>
  <singleXmlCell id="21" xr6:uid="{AB4E4E37-BEDC-4397-B91A-64EBBB0A63F7}" r="D4" connectionId="0">
    <xmlCellPr id="1" xr6:uid="{9BA18741-7854-4213-80DF-70B37AFE62F3}" uniqueName="refId">
      <xmlPr mapId="4" xpath="/ns1:digitalCalibrationCertificate/ns1:measurementResults/ns1:measurementResult/@refId" xmlDataType="IDREFS"/>
    </xmlCellPr>
  </singleXmlCell>
  <singleXmlCell id="22" xr6:uid="{BCA25604-FFE0-45F8-8CF6-46959FD8F5D9}" r="E4" connectionId="0">
    <xmlCellPr id="1" xr6:uid="{EFC59625-4AEE-4494-9316-5FD8CE1F6DFA}" uniqueName="refType">
      <xmlPr mapId="4" xpath="/ns1:digitalCalibrationCertificate/ns1:measurementResults/ns1:measurementResult/@refType" xmlDataType="string"/>
    </xmlCellPr>
  </singleXmlCell>
  <singleXmlCell id="25" xr6:uid="{1AFF075A-7796-48F4-AD57-0F1F49680176}" r="G18" connectionId="0">
    <xmlCellPr id="1" xr6:uid="{2E3F81D0-596D-4211-8FB0-2552A5AE0E12}" uniqueName="ns1:normOnce">
      <xmlPr mapId="4" xpath="/ns1:digitalCalibrationCertificate/ns1:measurementResults/ns1:measurementResult/ns1:usedMethods/ns1:usedMethodDevelop/ns1:normOnce" xmlDataType="string"/>
    </xmlCellPr>
  </singleXmlCell>
  <singleXmlCell id="36" xr6:uid="{F5B83249-FD12-4B8A-A357-13150F173F0E}" r="K16" connectionId="0">
    <xmlCellPr id="1" xr6:uid="{13F8A7D1-2467-4FB3-9060-253F8B33F33E}" uniqueName="refType">
      <xmlPr mapId="4" xpath="/ns1:digitalCalibrationCertificate/ns1:measurementResults/ns1:measurementResult/ns1:usedMethods/ns1:usedMethodGUM/@refType" xmlDataType="string"/>
    </xmlCellPr>
  </singleXmlCell>
  <singleXmlCell id="37" xr6:uid="{D916A9FA-54C3-4542-952C-7CF47EBACF43}" r="M18" connectionId="0">
    <xmlCellPr id="1" xr6:uid="{D4804CA6-CBF7-4CB9-B65B-8329A5BBC97B}" uniqueName="ns1:normOnce">
      <xmlPr mapId="4" xpath="/ns1:digitalCalibrationCertificate/ns1:measurementResults/ns1:measurementResult/ns1:usedMethods/ns1:usedMethodGUM/ns1:normOnce" xmlDataType="string"/>
    </xmlCellPr>
  </singleXmlCell>
</singleXmlCells>
</file>

<file path=xl/tables/tableSingleCells2.xml><?xml version="1.0" encoding="utf-8"?>
<singleXmlCells xmlns="http://schemas.openxmlformats.org/spreadsheetml/2006/main" xmlns:mc="http://schemas.openxmlformats.org/markup-compatibility/2006" xmlns:xr="http://schemas.microsoft.com/office/spreadsheetml/2014/revision" xmlns:xr3="http://schemas.microsoft.com/office/spreadsheetml/2016/revision3" xmlns:xr6="http://schemas.microsoft.com/office/spreadsheetml/2016/revision6" mc:Ignorable="xr xr3 xr6">
  <singleXmlCell id="39" xr6:uid="{66512844-B348-459C-A87C-6FA2AC912890}" r="E14" connectionId="0">
    <xmlCellPr id="1" xr6:uid="{BBCA6290-5B55-43B8-BB45-B81D532EE858}" uniqueName="refType">
      <xmlPr mapId="4" xpath="/ns1:digitalCalibrationCertificate/ns1:measurementResults/ns1:measurementResult/ns1:influenceConditions/ns1:influenceCondition/@refType" xmlDataType="string"/>
    </xmlCellPr>
  </singleXmlCell>
  <singleXmlCell id="45" xr6:uid="{3662EA28-F4D2-429E-BB1F-8B0A02DA5C69}" r="G30" connectionId="0">
    <xmlCellPr id="1" xr6:uid="{FBE4ED9C-4C8B-4ECE-B8F8-921E3655CC20}" uniqueName="ns1:referralID">
      <xmlPr mapId="4" xpath="/ns1:digitalCalibrationCertificate/ns1:measurementResults/ns1:measurementResult/ns1:influenceConditions/ns1:influenceCondition/ns1:certificate/ns1:referralID" xmlDataType="string"/>
    </xmlCellPr>
  </singleXmlCell>
  <singleXmlCell id="46" xr6:uid="{EAE7D2F2-B0E2-46DE-AF8D-F47E40BEC719}" r="I30" connectionId="0">
    <xmlCellPr id="1" xr6:uid="{75BB377D-BD0B-43E1-BB99-B54C4F30D34C}" uniqueName="ns1:procedure">
      <xmlPr mapId="4" xpath="/ns1:digitalCalibrationCertificate/ns1:measurementResults/ns1:measurementResult/ns1:influenceConditions/ns1:influenceCondition/ns1:certificate/ns1:procedure" xmlDataType="string"/>
    </xmlCellPr>
  </singleXmlCell>
  <singleXmlCell id="47" xr6:uid="{ABBC2D56-A6E3-4BD3-ACE5-5D289CC75904}" r="K30" connectionId="0">
    <xmlCellPr id="1" xr6:uid="{42EFAC0C-C80A-4155-A257-AF7635657E58}" uniqueName="ns1:value">
      <xmlPr mapId="4" xpath="/ns1:digitalCalibrationCertificate/ns1:measurementResults/ns1:measurementResult/ns1:influenceConditions/ns1:influenceCondition/ns1:certificate/ns1:value" xmlDataType="string"/>
    </xmlCellPr>
  </singleXmlCell>
  <singleXmlCell id="48" xr6:uid="{EAAB3255-4ACB-4B94-9B34-3761B7F4794F}" r="H15" connectionId="0">
    <xmlCellPr id="1" xr6:uid="{9CA9EF0E-4D2A-4E9C-B36A-3B7613A21CB1}" uniqueName="refType">
      <xmlPr mapId="4" xpath="/ns1:digitalCalibrationCertificate/ns1:measurementResults/ns1:measurementResult/ns1:influenceConditions/ns1:influenceCondition/ns1:data/ns1:quantityOnce/@refType" xmlDataType="string"/>
    </xmlCellPr>
  </singleXmlCell>
  <singleXmlCell id="51" xr6:uid="{5610DCA0-2A63-4EDE-9395-3E77B5AEEE6B}" r="I17" connectionId="0">
    <xmlCellPr id="1" xr6:uid="{2AD1198D-B4B6-422C-BADF-79DA85E57AC8}" uniqueName="ns2:value">
      <xmlPr mapId="4" xpath="/ns1:digitalCalibrationCertificate/ns1:measurementResults/ns1:measurementResult/ns1:influenceConditions/ns1:influenceCondition/ns1:data/ns1:quantityOnce/ns2:real/ns2:value" xmlDataType="double"/>
    </xmlCellPr>
  </singleXmlCell>
  <singleXmlCell id="52" xr6:uid="{CC3DE6EB-B4A0-480E-9715-7318B54F531A}" r="J17" connectionId="0">
    <xmlCellPr id="1" xr6:uid="{91EA5CD0-AD74-4A5A-96D5-B7334BE56A9C}" uniqueName="ns2:unit">
      <xmlPr mapId="4" xpath="/ns1:digitalCalibrationCertificate/ns1:measurementResults/ns1:measurementResult/ns1:influenceConditions/ns1:influenceCondition/ns1:data/ns1:quantityOnce/ns2:real/ns2:unit" xmlDataType="string"/>
    </xmlCellPr>
  </singleXmlCell>
  <singleXmlCell id="53" xr6:uid="{B462F637-EA5F-4B0D-98B3-3C7BD415E42F}" r="K17" connectionId="0">
    <xmlCellPr id="1" xr6:uid="{201B2817-2B6E-4A3F-B4FC-710B9B10F54D}" uniqueName="ns2:valueExpandedMU">
      <xmlPr mapId="4" xpath="/ns1:digitalCalibrationCertificate/ns1:measurementResults/ns1:measurementResult/ns1:influenceConditions/ns1:influenceCondition/ns1:data/ns1:quantityOnce/ns2:real/ns2:measurementUncertaintyUnivariate/ns2:expandedMU/ns2:valueExpandedMU" xmlDataType="double"/>
    </xmlCellPr>
  </singleXmlCell>
  <singleXmlCell id="54" xr6:uid="{0B924AC8-241E-4F02-85E1-CD551A8C0753}" r="L17" connectionId="0">
    <xmlCellPr id="1" xr6:uid="{791C0DEB-E18D-4F4F-A59E-B90C4CDAFD08}" uniqueName="ns2:coverageFactor">
      <xmlPr mapId="4" xpath="/ns1:digitalCalibrationCertificate/ns1:measurementResults/ns1:measurementResult/ns1:influenceConditions/ns1:influenceCondition/ns1:data/ns1:quantityOnce/ns2:real/ns2:measurementUncertaintyUnivariate/ns2:expandedMU/ns2:coverageFactor" xmlDataType="double"/>
    </xmlCellPr>
  </singleXmlCell>
  <singleXmlCell id="55" xr6:uid="{CA75B98A-AB8F-47F6-800E-01764359A4A7}" r="M17" connectionId="0">
    <xmlCellPr id="1" xr6:uid="{2DC87905-2153-4C46-AFE1-D5ED5D173990}" uniqueName="ns2:coverageProbability">
      <xmlPr mapId="4" xpath="/ns1:digitalCalibrationCertificate/ns1:measurementResults/ns1:measurementResult/ns1:influenceConditions/ns1:influenceCondition/ns1:data/ns1:quantityOnce/ns2:real/ns2:measurementUncertaintyUnivariate/ns2:expandedMU/ns2:coverageProbability" xmlDataType="double"/>
    </xmlCellPr>
  </singleXmlCell>
  <singleXmlCell id="86" xr6:uid="{1ACBAC31-8AF0-4CF5-96B1-E1A21EB704FF}" r="E41" connectionId="0">
    <xmlCellPr id="1" xr6:uid="{1FA6D3BB-2413-40DF-987F-A57463B03624}" uniqueName="refType">
      <xmlPr mapId="4" xpath="/ns1:digitalCalibrationCertificate/ns1:measurementResults/ns1:measurementResult/ns1:influenceConditions/ns1:influenceConditionOnce/@refType" xmlDataType="string"/>
    </xmlCellPr>
  </singleXmlCell>
  <singleXmlCell id="87" xr6:uid="{3B293A4E-EF4D-4D34-AC57-4300DA20F9D5}" r="H42" connectionId="0">
    <xmlCellPr id="1" xr6:uid="{A407BC1D-72DF-4595-8959-BCE366B5213E}" uniqueName="refType">
      <xmlPr mapId="4" xpath="/ns1:digitalCalibrationCertificate/ns1:measurementResults/ns1:measurementResult/ns1:influenceConditions/ns1:influenceConditionOnce/ns1:data/ns1:quantityOnce/@refType" xmlDataType="string"/>
    </xmlCellPr>
  </singleXmlCell>
  <singleXmlCell id="92" xr6:uid="{35A8D516-3227-4454-A3B3-A3182C4F6FC0}" r="I44" connectionId="0">
    <xmlCellPr id="1" xr6:uid="{381935D4-137B-49D7-94A6-AF1CE7338841}" uniqueName="ns2:value">
      <xmlPr mapId="4" xpath="/ns1:digitalCalibrationCertificate/ns1:measurementResults/ns1:measurementResult/ns1:influenceConditions/ns1:influenceConditionOnce/ns1:data/ns1:quantityOnce/ns2:real/ns2:value" xmlDataType="double"/>
    </xmlCellPr>
  </singleXmlCell>
  <singleXmlCell id="93" xr6:uid="{22D306C4-F062-4130-AFBD-5A47A110E81C}" r="J44" connectionId="0">
    <xmlCellPr id="1" xr6:uid="{377AD825-1BFB-4AA0-9287-7DBA1EB141D5}" uniqueName="ns2:unit">
      <xmlPr mapId="4" xpath="/ns1:digitalCalibrationCertificate/ns1:measurementResults/ns1:measurementResult/ns1:influenceConditions/ns1:influenceConditionOnce/ns1:data/ns1:quantityOnce/ns2:real/ns2:unit" xmlDataType="string"/>
    </xmlCellPr>
  </singleXmlCell>
  <singleXmlCell id="94" xr6:uid="{9B6E7392-93CC-423D-96E9-592DA9AB0063}" r="K44" connectionId="0">
    <xmlCellPr id="1" xr6:uid="{08D3C831-AB3A-43A6-8AE1-38C9A6921D2F}" uniqueName="ns2:valueExpandedMU">
      <xmlPr mapId="4" xpath="/ns1:digitalCalibrationCertificate/ns1:measurementResults/ns1:measurementResult/ns1:influenceConditions/ns1:influenceConditionOnce/ns1:data/ns1:quantityOnce/ns2:real/ns2:measurementUncertaintyUnivariate/ns2:expandedMU/ns2:valueExpandedMU" xmlDataType="double"/>
    </xmlCellPr>
  </singleXmlCell>
  <singleXmlCell id="95" xr6:uid="{6090418B-1FE9-43A5-A885-53D858B6B53B}" r="L44" connectionId="0">
    <xmlCellPr id="1" xr6:uid="{72435EB8-774E-4484-86D8-0C8A2A108092}" uniqueName="ns2:coverageFactor">
      <xmlPr mapId="4" xpath="/ns1:digitalCalibrationCertificate/ns1:measurementResults/ns1:measurementResult/ns1:influenceConditions/ns1:influenceConditionOnce/ns1:data/ns1:quantityOnce/ns2:real/ns2:measurementUncertaintyUnivariate/ns2:expandedMU/ns2:coverageFactor" xmlDataType="double"/>
    </xmlCellPr>
  </singleXmlCell>
  <singleXmlCell id="97" xr6:uid="{D1E4B28E-2141-46B7-ACE2-0B85E258F56F}" r="M44" connectionId="0">
    <xmlCellPr id="1" xr6:uid="{F9BB20D7-EC9F-4023-BA6F-78E5F4E6985E}" uniqueName="ns2:coverageProbability">
      <xmlPr mapId="4" xpath="/ns1:digitalCalibrationCertificate/ns1:measurementResults/ns1:measurementResult/ns1:influenceConditions/ns1:influenceConditionOnce/ns1:data/ns1:quantityOnce/ns2:real/ns2:measurementUncertaintyUnivariate/ns2:expandedMU/ns2:coverageProbability" xmlDataType="double"/>
    </xmlCellPr>
  </singleXmlCell>
  <singleXmlCell id="98" xr6:uid="{F6F58BE9-AFFF-4BA5-B0F3-FF340679F17D}" r="E68" connectionId="0">
    <xmlCellPr id="1" xr6:uid="{9E9A5CE9-097F-4135-B0AF-C12BD11ED84E}" uniqueName="refType">
      <xmlPr mapId="4" xpath="/ns1:digitalCalibrationCertificate/ns1:measurementResults/ns1:measurementResult/ns1:influenceConditions/ns1:influenceConditionOther/@refType" xmlDataType="string"/>
    </xmlCellPr>
  </singleXmlCell>
  <singleXmlCell id="99" xr6:uid="{90A7B182-D5B4-446E-B68B-73C50D62A21D}" r="H69" connectionId="0">
    <xmlCellPr id="1" xr6:uid="{61F1CF8F-BB4E-4F94-8A57-3194C22D64A9}" uniqueName="refType">
      <xmlPr mapId="4" xpath="/ns1:digitalCalibrationCertificate/ns1:measurementResults/ns1:measurementResult/ns1:influenceConditions/ns1:influenceConditionOther/ns1:data/ns1:quantityOnce/@refType" xmlDataType="string"/>
    </xmlCellPr>
  </singleXmlCell>
  <singleXmlCell id="100" xr6:uid="{6E8B3205-D560-40C1-B3DD-56CF71F8B96A}" r="I71" connectionId="0">
    <xmlCellPr id="1" xr6:uid="{BCF091DB-D79F-4321-B5A0-B2F3588875AF}" uniqueName="ns2:value">
      <xmlPr mapId="4" xpath="/ns1:digitalCalibrationCertificate/ns1:measurementResults/ns1:measurementResult/ns1:influenceConditions/ns1:influenceConditionOther/ns1:data/ns1:quantityOnce/ns2:real/ns2:value" xmlDataType="double"/>
    </xmlCellPr>
  </singleXmlCell>
  <singleXmlCell id="101" xr6:uid="{B8810CEB-3475-4B68-AB2E-5ED74107F49B}" r="J71" connectionId="0">
    <xmlCellPr id="1" xr6:uid="{EC59FE73-2519-4C29-BF90-28F2614AD5A5}" uniqueName="ns2:unit">
      <xmlPr mapId="4" xpath="/ns1:digitalCalibrationCertificate/ns1:measurementResults/ns1:measurementResult/ns1:influenceConditions/ns1:influenceConditionOther/ns1:data/ns1:quantityOnce/ns2:real/ns2:unit" xmlDataType="string"/>
    </xmlCellPr>
  </singleXmlCell>
  <singleXmlCell id="102" xr6:uid="{A7E488FE-E20C-4C02-8CDD-CFD5DD1362B3}" r="K71" connectionId="0">
    <xmlCellPr id="1" xr6:uid="{F78852F2-4DC5-4BF5-9281-ED96230399E0}" uniqueName="ns2:valueExpandedMU">
      <xmlPr mapId="4" xpath="/ns1:digitalCalibrationCertificate/ns1:measurementResults/ns1:measurementResult/ns1:influenceConditions/ns1:influenceConditionOther/ns1:data/ns1:quantityOnce/ns2:real/ns2:measurementUncertaintyUnivariate/ns2:expandedMU/ns2:valueExpandedMU" xmlDataType="double"/>
    </xmlCellPr>
  </singleXmlCell>
  <singleXmlCell id="103" xr6:uid="{B87356F0-E55F-4A66-A414-B161B3081605}" r="L71" connectionId="0">
    <xmlCellPr id="1" xr6:uid="{A563F23B-CD0A-4DBE-A108-7044A829A544}" uniqueName="ns2:coverageFactor">
      <xmlPr mapId="4" xpath="/ns1:digitalCalibrationCertificate/ns1:measurementResults/ns1:measurementResult/ns1:influenceConditions/ns1:influenceConditionOther/ns1:data/ns1:quantityOnce/ns2:real/ns2:measurementUncertaintyUnivariate/ns2:expandedMU/ns2:coverageFactor" xmlDataType="double"/>
    </xmlCellPr>
  </singleXmlCell>
  <singleXmlCell id="104" xr6:uid="{E1823B19-B93B-41FB-A6E8-8D9E82558952}" r="M71" connectionId="0">
    <xmlCellPr id="1" xr6:uid="{1470CD2B-3B22-48CD-9206-A5DB42B05ACB}" uniqueName="ns2:coverageProbability">
      <xmlPr mapId="4" xpath="/ns1:digitalCalibrationCertificate/ns1:measurementResults/ns1:measurementResult/ns1:influenceConditions/ns1:influenceConditionOther/ns1:data/ns1:quantityOnce/ns2:real/ns2:measurementUncertaintyUnivariate/ns2:expandedMU/ns2:coverageProbability" xmlDataType="double"/>
    </xmlCellPr>
  </singleXmlCell>
  <singleXmlCell id="106" xr6:uid="{9F9248BA-E331-4586-B363-DEFB1245047B}" r="E95" connectionId="0">
    <xmlCellPr id="1" xr6:uid="{D56326D2-CD01-4B09-8541-634C5FF33C02}" uniqueName="refType">
      <xmlPr mapId="4" xpath="/ns1:digitalCalibrationCertificate/ns1:measurementResults/ns1:measurementResult/ns1:influenceConditions/ns1:influenceConditionAnother/@refType" xmlDataType="string"/>
    </xmlCellPr>
  </singleXmlCell>
  <singleXmlCell id="107" xr6:uid="{B35C95FB-991F-444D-9619-3E0C2AB7D66D}" r="H96" connectionId="0">
    <xmlCellPr id="1" xr6:uid="{3163A708-908A-4F2B-9243-D1B15E44F6E9}" uniqueName="refType">
      <xmlPr mapId="4" xpath="/ns1:digitalCalibrationCertificate/ns1:measurementResults/ns1:measurementResult/ns1:influenceConditions/ns1:influenceConditionAnother/ns1:data/ns1:quantityOnce/@refType" xmlDataType="string"/>
    </xmlCellPr>
  </singleXmlCell>
  <singleXmlCell id="108" xr6:uid="{E226B389-31FC-4686-9BD5-E2F30CDA2C0B}" r="I98" connectionId="0">
    <xmlCellPr id="1" xr6:uid="{F626DF92-C866-4952-BD4A-2377377E6226}" uniqueName="ns2:value">
      <xmlPr mapId="4" xpath="/ns1:digitalCalibrationCertificate/ns1:measurementResults/ns1:measurementResult/ns1:influenceConditions/ns1:influenceConditionAnother/ns1:data/ns1:quantityOnce/ns2:real/ns2:value" xmlDataType="double"/>
    </xmlCellPr>
  </singleXmlCell>
  <singleXmlCell id="109" xr6:uid="{DAA2FE1E-F332-4345-AC1A-09E09ABF2B04}" r="J98" connectionId="0">
    <xmlCellPr id="1" xr6:uid="{0390C7BC-1FEB-424C-AB1A-5E42650AF7DE}" uniqueName="ns2:unit">
      <xmlPr mapId="4" xpath="/ns1:digitalCalibrationCertificate/ns1:measurementResults/ns1:measurementResult/ns1:influenceConditions/ns1:influenceConditionAnother/ns1:data/ns1:quantityOnce/ns2:real/ns2:unit" xmlDataType="string"/>
    </xmlCellPr>
  </singleXmlCell>
  <singleXmlCell id="110" xr6:uid="{A617709E-EF5E-49E7-9433-C1C1ED61FAA7}" r="K98" connectionId="0">
    <xmlCellPr id="1" xr6:uid="{F53A9F5D-FFB6-46FD-B50E-858018B527A7}" uniqueName="ns2:valueExpandedMU">
      <xmlPr mapId="4" xpath="/ns1:digitalCalibrationCertificate/ns1:measurementResults/ns1:measurementResult/ns1:influenceConditions/ns1:influenceConditionAnother/ns1:data/ns1:quantityOnce/ns2:real/ns2:measurementUncertaintyUnivariate/ns2:expandedMU/ns2:valueExpandedMU" xmlDataType="double"/>
    </xmlCellPr>
  </singleXmlCell>
  <singleXmlCell id="111" xr6:uid="{BB295470-11FC-4134-BC22-299464D31FC8}" r="L98" connectionId="0">
    <xmlCellPr id="1" xr6:uid="{ED4CB499-A79E-4D1F-AB67-2DD8C470B55A}" uniqueName="ns2:coverageFactor">
      <xmlPr mapId="4" xpath="/ns1:digitalCalibrationCertificate/ns1:measurementResults/ns1:measurementResult/ns1:influenceConditions/ns1:influenceConditionAnother/ns1:data/ns1:quantityOnce/ns2:real/ns2:measurementUncertaintyUnivariate/ns2:expandedMU/ns2:coverageFactor" xmlDataType="double"/>
    </xmlCellPr>
  </singleXmlCell>
  <singleXmlCell id="112" xr6:uid="{907AF206-F226-4CFD-B58E-9CB0CC6363A9}" r="M98" connectionId="0">
    <xmlCellPr id="1" xr6:uid="{E3A9C7DA-A076-4299-8B8D-C0C00D9314FC}" uniqueName="ns2:coverageProbability">
      <xmlPr mapId="4" xpath="/ns1:digitalCalibrationCertificate/ns1:measurementResults/ns1:measurementResult/ns1:influenceConditions/ns1:influenceConditionAnother/ns1:data/ns1:quantityOnce/ns2:real/ns2:measurementUncertaintyUnivariate/ns2:expandedMU/ns2:coverageProbability" xmlDataType="double"/>
    </xmlCellPr>
  </singleXmlCell>
</singleXmlCells>
</file>

<file path=xl/tables/tableSingleCells3.xml><?xml version="1.0" encoding="utf-8"?>
<singleXmlCells xmlns="http://schemas.openxmlformats.org/spreadsheetml/2006/main" xmlns:mc="http://schemas.openxmlformats.org/markup-compatibility/2006" xmlns:xr="http://schemas.microsoft.com/office/spreadsheetml/2014/revision" xmlns:xr3="http://schemas.microsoft.com/office/spreadsheetml/2016/revision3" xmlns:xr6="http://schemas.microsoft.com/office/spreadsheetml/2016/revision6" mc:Ignorable="xr xr3 xr6">
  <singleXmlCell id="113" xr6:uid="{51E33455-4AD7-4A97-AE4D-25ED6FC29CEF}" r="D14" connectionId="0">
    <xmlCellPr id="1" xr6:uid="{715A93B4-D8B9-4831-A442-77D0E13F5E12}" uniqueName="refType">
      <xmlPr mapId="4" xpath="/ns1:digitalCalibrationCertificate/ns1:measurementResults/ns1:measurementResult/ns1:results/ns1:result/@refType" xmlDataType="string"/>
    </xmlCellPr>
  </singleXmlCell>
  <singleXmlCell id="7" xr6:uid="{DCAE3953-D2CB-4BCA-9F63-8D3AEC74177A}" r="D25" connectionId="0">
    <xmlCellPr id="1" xr6:uid="{99659704-01FF-40B0-B51F-B32F679A0FB3}" uniqueName="refType">
      <xmlPr mapId="4" xpath="/ns1:digitalCalibrationCertificate/ns1:measurementResults/ns1:measurementResult/ns1:results/ns1:result/ns1:data/ns1:quantityOnce/@refType" xmlDataType="string"/>
    </xmlCellPr>
  </singleXmlCell>
  <singleXmlCell id="8" xr6:uid="{DD0D5255-50E9-4E82-8F0E-75D12C199371}" r="G28" connectionId="0">
    <xmlCellPr id="1" xr6:uid="{6371817B-3ECF-4502-90B2-1E675DF37912}" uniqueName="ns2:value">
      <xmlPr mapId="4" xpath="/ns1:digitalCalibrationCertificate/ns1:measurementResults/ns1:measurementResult/ns1:results/ns1:result/ns1:data/ns1:quantityOnce/ns2:real/ns2:value" xmlDataType="double"/>
    </xmlCellPr>
  </singleXmlCell>
  <singleXmlCell id="9" xr6:uid="{63371CE5-24C6-4328-A5D4-2AF604D382AC}" r="H28" connectionId="0">
    <xmlCellPr id="1" xr6:uid="{A395A9BC-21CC-46DD-B180-57315C076B4F}" uniqueName="ns2:unit">
      <xmlPr mapId="4" xpath="/ns1:digitalCalibrationCertificate/ns1:measurementResults/ns1:measurementResult/ns1:results/ns1:result/ns1:data/ns1:quantityOnce/ns2:real/ns2:unit" xmlDataType="string"/>
    </xmlCellPr>
  </singleXmlCell>
  <singleXmlCell id="105" xr6:uid="{E347D3F6-E142-40A7-A4BA-F9A141A15DA9}" r="D36" connectionId="0">
    <xmlCellPr id="1" xr6:uid="{ABB0D9E1-9CCD-41C1-9A88-18630F3CA0F1}" uniqueName="refType">
      <xmlPr mapId="4" xpath="/ns1:digitalCalibrationCertificate/ns1:measurementResults/ns1:measurementResult/ns1:results/ns1:result/ns1:data/ns1:quantityOther/@refType" xmlDataType="string"/>
    </xmlCellPr>
  </singleXmlCell>
  <singleXmlCell id="114" xr6:uid="{29724F96-1F23-4329-BFEC-2E2EC3EA985D}" r="G39" connectionId="0">
    <xmlCellPr id="1" xr6:uid="{88D1EBE4-9C99-46D5-BC15-8CBE9547613C}" uniqueName="ns2:value">
      <xmlPr mapId="4" xpath="/ns1:digitalCalibrationCertificate/ns1:measurementResults/ns1:measurementResult/ns1:results/ns1:result/ns1:data/ns1:quantityOther/ns2:real/ns2:value" xmlDataType="double"/>
    </xmlCellPr>
  </singleXmlCell>
  <singleXmlCell id="115" xr6:uid="{AC9A6221-20D1-469C-8CFC-2E8F90948B41}" r="H39" connectionId="0">
    <xmlCellPr id="1" xr6:uid="{C28011EF-1E7C-413C-9E60-916E4D90BC8E}" uniqueName="ns2:unit">
      <xmlPr mapId="4" xpath="/ns1:digitalCalibrationCertificate/ns1:measurementResults/ns1:measurementResult/ns1:results/ns1:result/ns1:data/ns1:quantityOther/ns2:real/ns2:unit" xmlDataType="string"/>
    </xmlCellPr>
  </singleXmlCell>
  <singleXmlCell id="116" xr6:uid="{E52783FC-90BB-4924-8AB5-9684BBF69714}" r="I39" connectionId="0">
    <xmlCellPr id="1" xr6:uid="{0E7FF1E2-0218-422E-B7A9-1E16DFFFC711}" uniqueName="ns2:dateTime">
      <xmlPr mapId="4" xpath="/ns1:digitalCalibrationCertificate/ns1:measurementResults/ns1:measurementResult/ns1:results/ns1:result/ns1:data/ns1:quantityOther/ns2:real/ns2:dateTime" xmlDataType="dateTime"/>
    </xmlCellPr>
  </singleXmlCell>
  <singleXmlCell id="117" xr6:uid="{7A57D29A-8835-45A4-84BF-3899FFCC6265}" r="J39" connectionId="0">
    <xmlCellPr id="1" xr6:uid="{8BFE7B0D-5101-4432-87C8-450D529C6EDA}" uniqueName="ns2:valueExpandedMU">
      <xmlPr mapId="4" xpath="/ns1:digitalCalibrationCertificate/ns1:measurementResults/ns1:measurementResult/ns1:results/ns1:result/ns1:data/ns1:quantityOther/ns2:real/ns2:measurementUncertaintyUnivariate/ns2:expandedMU/ns2:valueExpandedMU" xmlDataType="double"/>
    </xmlCellPr>
  </singleXmlCell>
  <singleXmlCell id="118" xr6:uid="{2A3C751E-4B78-42C8-9CD4-26644F67AFC6}" r="K39" connectionId="0">
    <xmlCellPr id="1" xr6:uid="{3CCC3041-1EB7-491A-A374-A1830969174F}" uniqueName="ns2:coverageFactor">
      <xmlPr mapId="4" xpath="/ns1:digitalCalibrationCertificate/ns1:measurementResults/ns1:measurementResult/ns1:results/ns1:result/ns1:data/ns1:quantityOther/ns2:real/ns2:measurementUncertaintyUnivariate/ns2:expandedMU/ns2:coverageFactor" xmlDataType="double"/>
    </xmlCellPr>
  </singleXmlCell>
  <singleXmlCell id="119" xr6:uid="{E9BD9C92-726F-422A-B0C7-8662B169C569}" r="L39" connectionId="0">
    <xmlCellPr id="1" xr6:uid="{E14EEC00-B159-4710-BAD3-F17935D8B24D}" uniqueName="ns2:coverageProbability">
      <xmlPr mapId="4" xpath="/ns1:digitalCalibrationCertificate/ns1:measurementResults/ns1:measurementResult/ns1:results/ns1:result/ns1:data/ns1:quantityOther/ns2:real/ns2:measurementUncertaintyUnivariate/ns2:expandedMU/ns2:coverageProbability" xmlDataType="double"/>
    </xmlCellPr>
  </singleXmlCell>
  <singleXmlCell id="120" xr6:uid="{F5EF0DCD-7766-427F-AF36-EBEEDA383A66}" r="F47" connectionId="0">
    <xmlCellPr id="1" xr6:uid="{F8D51687-FAFA-4F3F-AA92-1DA393E59F14}" uniqueName="refType">
      <xmlPr mapId="4" xpath="/ns1:digitalCalibrationCertificate/ns1:measurementResults/ns1:measurementResult/ns1:results/ns1:result/ns1:data/ns1:quantityOther/ns1:measurementMetaData/ns1:metaData/@refType" xmlDataType="string"/>
    </xmlCellPr>
  </singleXmlCell>
  <singleXmlCell id="121" xr6:uid="{7168B9D3-8678-44DD-8295-42CC72CCF272}" r="F49" connectionId="0">
    <xmlCellPr id="1" xr6:uid="{79867C2E-05EE-45A5-8B00-2A3A7B2D6B3D}" uniqueName="ns1:convention">
      <xmlPr mapId="4" xpath="/ns1:digitalCalibrationCertificate/ns1:measurementResults/ns1:measurementResult/ns1:results/ns1:result/ns1:data/ns1:quantityOther/ns1:measurementMetaData/ns1:metaData/ns1:convention" xmlDataType="string"/>
    </xmlCellPr>
  </singleXmlCell>
  <singleXmlCell id="122" xr6:uid="{2E2D79FC-C834-4EEF-8D52-5379A016CC22}" r="G49" connectionId="0">
    <xmlCellPr id="1" xr6:uid="{17423E59-0DBD-4C3F-B7DC-E101739B191D}" uniqueName="ns1:norm">
      <xmlPr mapId="4" xpath="/ns1:digitalCalibrationCertificate/ns1:measurementResults/ns1:measurementResult/ns1:results/ns1:result/ns1:data/ns1:quantityOther/ns1:measurementMetaData/ns1:metaData/ns1:norm" xmlDataType="string"/>
    </xmlCellPr>
  </singleXmlCell>
  <singleXmlCell id="123" xr6:uid="{D3FB3211-EA4B-498E-AC63-B30028B9C29F}" r="H49" connectionId="0">
    <xmlCellPr id="1" xr6:uid="{2F858BD7-67BA-406C-B014-7C48338F114B}" uniqueName="ns1:conformity">
      <xmlPr mapId="4" xpath="/ns1:digitalCalibrationCertificate/ns1:measurementResults/ns1:measurementResult/ns1:results/ns1:result/ns1:data/ns1:quantityOther/ns1:measurementMetaData/ns1:metaData/ns1:conformity" xmlDataType="string"/>
    </xmlCellPr>
  </singleXmlCell>
  <singleXmlCell id="133" xr6:uid="{69CFA485-41A4-4BD7-A6F4-A9252D14F30A}" r="D69" connectionId="0">
    <xmlCellPr id="1" xr6:uid="{156BFBAF-1A6F-4DA6-A31C-8716DC3E7514}" uniqueName="refType">
      <xmlPr mapId="4" xpath="/ns1:digitalCalibrationCertificate/ns1:measurementResults/ns1:measurementResult/ns1:results/ns1:result/ns1:data/ns1:quantityAnother/@refType" xmlDataType="string"/>
    </xmlCellPr>
  </singleXmlCell>
  <singleXmlCell id="134" xr6:uid="{AAFE100C-D352-4B13-A94F-8F8B12A4FA7E}" r="G72" connectionId="0">
    <xmlCellPr id="1" xr6:uid="{7768EF4A-2403-499B-A69D-5065C6AD468A}" uniqueName="ns2:value">
      <xmlPr mapId="4" xpath="/ns1:digitalCalibrationCertificate/ns1:measurementResults/ns1:measurementResult/ns1:results/ns1:result/ns1:data/ns1:quantityAnother/ns2:real/ns2:value" xmlDataType="double"/>
    </xmlCellPr>
  </singleXmlCell>
  <singleXmlCell id="135" xr6:uid="{46AEC95D-B9BF-4112-A9B9-6DAE28B51DCD}" r="H72" connectionId="0">
    <xmlCellPr id="1" xr6:uid="{7703BEA9-AA7F-42DE-BC8A-E24750EE7CDC}" uniqueName="ns2:unit">
      <xmlPr mapId="4" xpath="/ns1:digitalCalibrationCertificate/ns1:measurementResults/ns1:measurementResult/ns1:results/ns1:result/ns1:data/ns1:quantityAnother/ns2:real/ns2:unit" xmlDataType="string"/>
    </xmlCellPr>
  </singleXmlCell>
  <singleXmlCell id="136" xr6:uid="{52D20D5D-9093-497F-9A95-EF381ECC2ECE}" r="I72" connectionId="0">
    <xmlCellPr id="1" xr6:uid="{0D3F3F48-2754-49E9-A658-9883E0A50055}" uniqueName="ns2:dateTime">
      <xmlPr mapId="4" xpath="/ns1:digitalCalibrationCertificate/ns1:measurementResults/ns1:measurementResult/ns1:results/ns1:result/ns1:data/ns1:quantityAnother/ns2:real/ns2:dateTime" xmlDataType="dateTime"/>
    </xmlCellPr>
  </singleXmlCell>
  <singleXmlCell id="152" xr6:uid="{D30B1E80-C4C5-49A9-AD87-7E34738C3358}" r="J72" connectionId="0">
    <xmlCellPr id="1" xr6:uid="{B3053133-6486-42BE-8261-037B4CFD7593}" uniqueName="ns2:valueExpandedMU">
      <xmlPr mapId="4" xpath="/ns1:digitalCalibrationCertificate/ns1:measurementResults/ns1:measurementResult/ns1:results/ns1:result/ns1:data/ns1:quantityAnother/ns2:real/ns2:measurementUncertaintyUnivariate/ns2:expandedMU/ns2:valueExpandedMU" xmlDataType="double"/>
    </xmlCellPr>
  </singleXmlCell>
  <singleXmlCell id="158" xr6:uid="{03AF93ED-BCD6-48EC-B951-3570D41EC132}" r="K72" connectionId="0">
    <xmlCellPr id="1" xr6:uid="{90BBD4A9-4A04-4365-A06C-0BB5B5D22975}" uniqueName="ns2:coverageFactor">
      <xmlPr mapId="4" xpath="/ns1:digitalCalibrationCertificate/ns1:measurementResults/ns1:measurementResult/ns1:results/ns1:result/ns1:data/ns1:quantityAnother/ns2:real/ns2:measurementUncertaintyUnivariate/ns2:expandedMU/ns2:coverageFactor" xmlDataType="double"/>
    </xmlCellPr>
  </singleXmlCell>
  <singleXmlCell id="159" xr6:uid="{1D290AE9-FF95-45FD-BFC3-0063A5C415F6}" r="L72" connectionId="0">
    <xmlCellPr id="1" xr6:uid="{7B7F0A7D-D969-4377-B994-8B4B347C138D}" uniqueName="ns2:coverageProbability">
      <xmlPr mapId="4" xpath="/ns1:digitalCalibrationCertificate/ns1:measurementResults/ns1:measurementResult/ns1:results/ns1:result/ns1:data/ns1:quantityAnother/ns2:real/ns2:measurementUncertaintyUnivariate/ns2:expandedMU/ns2:coverageProbability" xmlDataType="double"/>
    </xmlCellPr>
  </singleXmlCell>
  <singleXmlCell id="160" xr6:uid="{4564B796-042B-40DB-893C-AE4AFD5D5EBE}" r="D82" connectionId="0">
    <xmlCellPr id="1" xr6:uid="{0902712E-9BA5-4859-9F90-10A9FE97FC52}" uniqueName="refType">
      <xmlPr mapId="4" xpath="/ns1:digitalCalibrationCertificate/ns1:measurementResults/ns1:measurementResult/ns1:results/ns1:resultOnce/@refType" xmlDataType="string"/>
    </xmlCellPr>
  </singleXmlCell>
  <singleXmlCell id="161" xr6:uid="{046FF716-0001-40CB-8B48-268026806F28}" r="D93" connectionId="0">
    <xmlCellPr id="1" xr6:uid="{7C89E6C6-B70E-494F-BC38-B6DB281BB9BF}" uniqueName="refType">
      <xmlPr mapId="4" xpath="/ns1:digitalCalibrationCertificate/ns1:measurementResults/ns1:measurementResult/ns1:results/ns1:resultOnce/ns1:data/ns1:quantityOnce/@refType" xmlDataType="string"/>
    </xmlCellPr>
  </singleXmlCell>
  <singleXmlCell id="168" xr6:uid="{0F073C86-D4AE-4F13-901F-74B3A8C70EFF}" r="G96" connectionId="0">
    <xmlCellPr id="1" xr6:uid="{7AA46F0E-96CB-4BCC-9C6B-FF69BB954DA0}" uniqueName="ns2:value">
      <xmlPr mapId="4" xpath="/ns1:digitalCalibrationCertificate/ns1:measurementResults/ns1:measurementResult/ns1:results/ns1:resultOnce/ns1:data/ns1:quantityOnce/ns2:real/ns2:value" xmlDataType="double"/>
    </xmlCellPr>
  </singleXmlCell>
  <singleXmlCell id="169" xr6:uid="{DE5819C4-676B-4C0D-A51F-61C3238D054D}" r="H96" connectionId="0">
    <xmlCellPr id="1" xr6:uid="{587CA572-F394-4BB6-A10D-827AA0D5F216}" uniqueName="ns2:unit">
      <xmlPr mapId="4" xpath="/ns1:digitalCalibrationCertificate/ns1:measurementResults/ns1:measurementResult/ns1:results/ns1:resultOnce/ns1:data/ns1:quantityOnce/ns2:real/ns2:unit" xmlDataType="string"/>
    </xmlCellPr>
  </singleXmlCell>
  <singleXmlCell id="170" xr6:uid="{F815C9F1-D73C-49DA-A46E-AFA66C3248DC}" r="D104" connectionId="0">
    <xmlCellPr id="1" xr6:uid="{D88C7A34-3D48-4AE2-AA9A-1E2F5FF71138}" uniqueName="refType">
      <xmlPr mapId="4" xpath="/ns1:digitalCalibrationCertificate/ns1:measurementResults/ns1:measurementResult/ns1:results/ns1:resultOnce/ns1:data/ns1:quantityOther/@refType" xmlDataType="string"/>
    </xmlCellPr>
  </singleXmlCell>
  <singleXmlCell id="171" xr6:uid="{4AE7A7A0-7FF7-4BAE-A94D-97C826AB02BB}" r="G107" connectionId="0">
    <xmlCellPr id="1" xr6:uid="{6283ECF9-1BD1-4F99-913E-054A1B1CC86A}" uniqueName="ns2:value">
      <xmlPr mapId="4" xpath="/ns1:digitalCalibrationCertificate/ns1:measurementResults/ns1:measurementResult/ns1:results/ns1:resultOnce/ns1:data/ns1:quantityOther/ns2:real/ns2:value" xmlDataType="double"/>
    </xmlCellPr>
  </singleXmlCell>
  <singleXmlCell id="172" xr6:uid="{4A0C4163-81A3-4019-B452-FDB81E890060}" r="H107" connectionId="0">
    <xmlCellPr id="1" xr6:uid="{D22E97B7-004F-4CB1-B297-EC73099B3CB5}" uniqueName="ns2:unit">
      <xmlPr mapId="4" xpath="/ns1:digitalCalibrationCertificate/ns1:measurementResults/ns1:measurementResult/ns1:results/ns1:resultOnce/ns1:data/ns1:quantityOther/ns2:real/ns2:unit" xmlDataType="string"/>
    </xmlCellPr>
  </singleXmlCell>
  <singleXmlCell id="173" xr6:uid="{0D8E4A57-D12C-4DF5-8289-BC38717E253F}" r="I106" connectionId="0">
    <xmlCellPr id="1" xr6:uid="{351C45C9-AB43-428B-ACEA-F4820805474C}" uniqueName="ns2:dateTime">
      <xmlPr mapId="4" xpath="/ns1:digitalCalibrationCertificate/ns1:measurementResults/ns1:measurementResult/ns1:results/ns1:resultOnce/ns1:data/ns1:quantityOther/ns2:real/ns2:dateTime" xmlDataType="dateTime"/>
    </xmlCellPr>
  </singleXmlCell>
  <singleXmlCell id="174" xr6:uid="{3FF643AE-1B6E-4CD7-8557-125E61C6FA5A}" r="J107" connectionId="0">
    <xmlCellPr id="1" xr6:uid="{142EBC27-245C-4DCC-BF33-40FF11E509A9}" uniqueName="ns2:valueExpandedMU">
      <xmlPr mapId="4" xpath="/ns1:digitalCalibrationCertificate/ns1:measurementResults/ns1:measurementResult/ns1:results/ns1:resultOnce/ns1:data/ns1:quantityOther/ns2:real/ns2:measurementUncertaintyUnivariate/ns2:expandedMU/ns2:valueExpandedMU" xmlDataType="double"/>
    </xmlCellPr>
  </singleXmlCell>
  <singleXmlCell id="175" xr6:uid="{D0939DEE-C07A-4497-A533-BCCF80A5280E}" r="K107" connectionId="0">
    <xmlCellPr id="1" xr6:uid="{6015830C-D302-4359-B2A2-411C1B0510F0}" uniqueName="ns2:coverageFactor">
      <xmlPr mapId="4" xpath="/ns1:digitalCalibrationCertificate/ns1:measurementResults/ns1:measurementResult/ns1:results/ns1:resultOnce/ns1:data/ns1:quantityOther/ns2:real/ns2:measurementUncertaintyUnivariate/ns2:expandedMU/ns2:coverageFactor" xmlDataType="double"/>
    </xmlCellPr>
  </singleXmlCell>
  <singleXmlCell id="176" xr6:uid="{FCDD2E03-BB31-42EE-AC07-8A2AEE17149F}" r="L107" connectionId="0">
    <xmlCellPr id="1" xr6:uid="{CD1F3D79-4914-4D5A-9BE0-84D3E07853BE}" uniqueName="ns2:coverageProbability">
      <xmlPr mapId="4" xpath="/ns1:digitalCalibrationCertificate/ns1:measurementResults/ns1:measurementResult/ns1:results/ns1:resultOnce/ns1:data/ns1:quantityOther/ns2:real/ns2:measurementUncertaintyUnivariate/ns2:expandedMU/ns2:coverageProbability" xmlDataType="double"/>
    </xmlCellPr>
  </singleXmlCell>
</singleXmlCell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spDef>
      <a:spPr>
        <a:solidFill>
          <a:schemeClr val="accent1">
            <a:lumMod val="50000"/>
          </a:schemeClr>
        </a:solidFill>
        <a:ln>
          <a:noFill/>
        </a:ln>
      </a:spPr>
      <a:bodyPr vertOverflow="clip" horzOverflow="clip" rtlCol="0" anchor="t"/>
      <a:lstStyle>
        <a:defPPr algn="l">
          <a:defRPr sz="1100" b="1"/>
        </a:defPPr>
      </a:lstStyle>
      <a:style>
        <a:lnRef idx="2">
          <a:schemeClr val="accent1">
            <a:shade val="50000"/>
          </a:schemeClr>
        </a:lnRef>
        <a:fillRef idx="1">
          <a:schemeClr val="accent1"/>
        </a:fillRef>
        <a:effectRef idx="0">
          <a:schemeClr val="accent1"/>
        </a:effectRef>
        <a:fontRef idx="minor">
          <a:schemeClr val="lt1"/>
        </a:fontRef>
      </a:style>
    </a:spDef>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0" row="0">
    <wetp:webextensionref xmlns:r="http://schemas.openxmlformats.org/officeDocument/2006/relationships" r:id="rId1"/>
  </wetp:taskpane>
</wetp:taskpanes>
</file>

<file path=xl/webextensions/webextension1.xml><?xml version="1.0" encoding="utf-8"?>
<we:webextension xmlns:we="http://schemas.microsoft.com/office/webextensions/webextension/2010/11" id="{235424FF-DB9C-4E81-B985-920161952629}">
  <we:reference id="8bc018e3-f345-40d4-8f1d-97951765d531" version="3.0.0.0" store="EXCatalog" storeType="EXCatalog"/>
  <we:alternateReferences>
    <we:reference id="WA104380862" version="3.0.0.0" store=""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8" Type="http://schemas.openxmlformats.org/officeDocument/2006/relationships/table" Target="../tables/table5.xml"/><Relationship Id="rId3" Type="http://schemas.openxmlformats.org/officeDocument/2006/relationships/tableSingleCells" Target="../tables/tableSingleCells1.xml"/><Relationship Id="rId7" Type="http://schemas.openxmlformats.org/officeDocument/2006/relationships/table" Target="../tables/table4.xml"/><Relationship Id="rId2" Type="http://schemas.openxmlformats.org/officeDocument/2006/relationships/drawing" Target="../drawings/drawing1.xml"/><Relationship Id="rId1" Type="http://schemas.openxmlformats.org/officeDocument/2006/relationships/printerSettings" Target="../printerSettings/printerSettings1.bin"/><Relationship Id="rId6" Type="http://schemas.openxmlformats.org/officeDocument/2006/relationships/table" Target="../tables/table3.xml"/><Relationship Id="rId5" Type="http://schemas.openxmlformats.org/officeDocument/2006/relationships/table" Target="../tables/table2.xml"/><Relationship Id="rId4" Type="http://schemas.openxmlformats.org/officeDocument/2006/relationships/table" Target="../tables/table1.xml"/><Relationship Id="rId9" Type="http://schemas.openxmlformats.org/officeDocument/2006/relationships/table" Target="../tables/table6.xml"/></Relationships>
</file>

<file path=xl/worksheets/_rels/sheet2.xml.rels><?xml version="1.0" encoding="UTF-8" standalone="yes"?>
<Relationships xmlns="http://schemas.openxmlformats.org/package/2006/relationships"><Relationship Id="rId13" Type="http://schemas.openxmlformats.org/officeDocument/2006/relationships/table" Target="../tables/table17.xml"/><Relationship Id="rId18" Type="http://schemas.openxmlformats.org/officeDocument/2006/relationships/table" Target="../tables/table22.xml"/><Relationship Id="rId26" Type="http://schemas.openxmlformats.org/officeDocument/2006/relationships/table" Target="../tables/table30.xml"/><Relationship Id="rId39" Type="http://schemas.openxmlformats.org/officeDocument/2006/relationships/table" Target="../tables/table43.xml"/><Relationship Id="rId21" Type="http://schemas.openxmlformats.org/officeDocument/2006/relationships/table" Target="../tables/table25.xml"/><Relationship Id="rId34" Type="http://schemas.openxmlformats.org/officeDocument/2006/relationships/table" Target="../tables/table38.xml"/><Relationship Id="rId42" Type="http://schemas.openxmlformats.org/officeDocument/2006/relationships/table" Target="../tables/table46.xml"/><Relationship Id="rId7" Type="http://schemas.openxmlformats.org/officeDocument/2006/relationships/table" Target="../tables/table11.xml"/><Relationship Id="rId2" Type="http://schemas.openxmlformats.org/officeDocument/2006/relationships/drawing" Target="../drawings/drawing2.xml"/><Relationship Id="rId16" Type="http://schemas.openxmlformats.org/officeDocument/2006/relationships/table" Target="../tables/table20.xml"/><Relationship Id="rId29" Type="http://schemas.openxmlformats.org/officeDocument/2006/relationships/table" Target="../tables/table33.xml"/><Relationship Id="rId1" Type="http://schemas.openxmlformats.org/officeDocument/2006/relationships/printerSettings" Target="../printerSettings/printerSettings2.bin"/><Relationship Id="rId6" Type="http://schemas.openxmlformats.org/officeDocument/2006/relationships/table" Target="../tables/table10.xml"/><Relationship Id="rId11" Type="http://schemas.openxmlformats.org/officeDocument/2006/relationships/table" Target="../tables/table15.xml"/><Relationship Id="rId24" Type="http://schemas.openxmlformats.org/officeDocument/2006/relationships/table" Target="../tables/table28.xml"/><Relationship Id="rId32" Type="http://schemas.openxmlformats.org/officeDocument/2006/relationships/table" Target="../tables/table36.xml"/><Relationship Id="rId37" Type="http://schemas.openxmlformats.org/officeDocument/2006/relationships/table" Target="../tables/table41.xml"/><Relationship Id="rId40" Type="http://schemas.openxmlformats.org/officeDocument/2006/relationships/table" Target="../tables/table44.xml"/><Relationship Id="rId45" Type="http://schemas.openxmlformats.org/officeDocument/2006/relationships/table" Target="../tables/table49.xml"/><Relationship Id="rId5" Type="http://schemas.openxmlformats.org/officeDocument/2006/relationships/table" Target="../tables/table9.xml"/><Relationship Id="rId15" Type="http://schemas.openxmlformats.org/officeDocument/2006/relationships/table" Target="../tables/table19.xml"/><Relationship Id="rId23" Type="http://schemas.openxmlformats.org/officeDocument/2006/relationships/table" Target="../tables/table27.xml"/><Relationship Id="rId28" Type="http://schemas.openxmlformats.org/officeDocument/2006/relationships/table" Target="../tables/table32.xml"/><Relationship Id="rId36" Type="http://schemas.openxmlformats.org/officeDocument/2006/relationships/table" Target="../tables/table40.xml"/><Relationship Id="rId10" Type="http://schemas.openxmlformats.org/officeDocument/2006/relationships/table" Target="../tables/table14.xml"/><Relationship Id="rId19" Type="http://schemas.openxmlformats.org/officeDocument/2006/relationships/table" Target="../tables/table23.xml"/><Relationship Id="rId31" Type="http://schemas.openxmlformats.org/officeDocument/2006/relationships/table" Target="../tables/table35.xml"/><Relationship Id="rId44" Type="http://schemas.openxmlformats.org/officeDocument/2006/relationships/table" Target="../tables/table48.xml"/><Relationship Id="rId4" Type="http://schemas.openxmlformats.org/officeDocument/2006/relationships/table" Target="../tables/table8.xml"/><Relationship Id="rId9" Type="http://schemas.openxmlformats.org/officeDocument/2006/relationships/table" Target="../tables/table13.xml"/><Relationship Id="rId14" Type="http://schemas.openxmlformats.org/officeDocument/2006/relationships/table" Target="../tables/table18.xml"/><Relationship Id="rId22" Type="http://schemas.openxmlformats.org/officeDocument/2006/relationships/table" Target="../tables/table26.xml"/><Relationship Id="rId27" Type="http://schemas.openxmlformats.org/officeDocument/2006/relationships/table" Target="../tables/table31.xml"/><Relationship Id="rId30" Type="http://schemas.openxmlformats.org/officeDocument/2006/relationships/table" Target="../tables/table34.xml"/><Relationship Id="rId35" Type="http://schemas.openxmlformats.org/officeDocument/2006/relationships/table" Target="../tables/table39.xml"/><Relationship Id="rId43" Type="http://schemas.openxmlformats.org/officeDocument/2006/relationships/table" Target="../tables/table47.xml"/><Relationship Id="rId8" Type="http://schemas.openxmlformats.org/officeDocument/2006/relationships/table" Target="../tables/table12.xml"/><Relationship Id="rId3" Type="http://schemas.openxmlformats.org/officeDocument/2006/relationships/table" Target="../tables/table7.xml"/><Relationship Id="rId12" Type="http://schemas.openxmlformats.org/officeDocument/2006/relationships/table" Target="../tables/table16.xml"/><Relationship Id="rId17" Type="http://schemas.openxmlformats.org/officeDocument/2006/relationships/table" Target="../tables/table21.xml"/><Relationship Id="rId25" Type="http://schemas.openxmlformats.org/officeDocument/2006/relationships/table" Target="../tables/table29.xml"/><Relationship Id="rId33" Type="http://schemas.openxmlformats.org/officeDocument/2006/relationships/table" Target="../tables/table37.xml"/><Relationship Id="rId38" Type="http://schemas.openxmlformats.org/officeDocument/2006/relationships/table" Target="../tables/table42.xml"/><Relationship Id="rId46" Type="http://schemas.openxmlformats.org/officeDocument/2006/relationships/table" Target="../tables/table50.xml"/><Relationship Id="rId20" Type="http://schemas.openxmlformats.org/officeDocument/2006/relationships/table" Target="../tables/table24.xml"/><Relationship Id="rId41" Type="http://schemas.openxmlformats.org/officeDocument/2006/relationships/table" Target="../tables/table45.xml"/></Relationships>
</file>

<file path=xl/worksheets/_rels/sheet3.xml.rels><?xml version="1.0" encoding="UTF-8" standalone="yes"?>
<Relationships xmlns="http://schemas.openxmlformats.org/package/2006/relationships"><Relationship Id="rId8" Type="http://schemas.openxmlformats.org/officeDocument/2006/relationships/table" Target="../tables/table56.xml"/><Relationship Id="rId13" Type="http://schemas.openxmlformats.org/officeDocument/2006/relationships/table" Target="../tables/table61.xml"/><Relationship Id="rId18" Type="http://schemas.openxmlformats.org/officeDocument/2006/relationships/table" Target="../tables/table66.xml"/><Relationship Id="rId26" Type="http://schemas.openxmlformats.org/officeDocument/2006/relationships/table" Target="../tables/table74.xml"/><Relationship Id="rId3" Type="http://schemas.openxmlformats.org/officeDocument/2006/relationships/table" Target="../tables/table51.xml"/><Relationship Id="rId21" Type="http://schemas.openxmlformats.org/officeDocument/2006/relationships/table" Target="../tables/table69.xml"/><Relationship Id="rId7" Type="http://schemas.openxmlformats.org/officeDocument/2006/relationships/table" Target="../tables/table55.xml"/><Relationship Id="rId12" Type="http://schemas.openxmlformats.org/officeDocument/2006/relationships/table" Target="../tables/table60.xml"/><Relationship Id="rId17" Type="http://schemas.openxmlformats.org/officeDocument/2006/relationships/table" Target="../tables/table65.xml"/><Relationship Id="rId25" Type="http://schemas.openxmlformats.org/officeDocument/2006/relationships/table" Target="../tables/table73.xml"/><Relationship Id="rId2" Type="http://schemas.openxmlformats.org/officeDocument/2006/relationships/tableSingleCells" Target="../tables/tableSingleCells2.xml"/><Relationship Id="rId16" Type="http://schemas.openxmlformats.org/officeDocument/2006/relationships/table" Target="../tables/table64.xml"/><Relationship Id="rId20" Type="http://schemas.openxmlformats.org/officeDocument/2006/relationships/table" Target="../tables/table68.xml"/><Relationship Id="rId29" Type="http://schemas.openxmlformats.org/officeDocument/2006/relationships/table" Target="../tables/table77.xml"/><Relationship Id="rId1" Type="http://schemas.openxmlformats.org/officeDocument/2006/relationships/drawing" Target="../drawings/drawing3.xml"/><Relationship Id="rId6" Type="http://schemas.openxmlformats.org/officeDocument/2006/relationships/table" Target="../tables/table54.xml"/><Relationship Id="rId11" Type="http://schemas.openxmlformats.org/officeDocument/2006/relationships/table" Target="../tables/table59.xml"/><Relationship Id="rId24" Type="http://schemas.openxmlformats.org/officeDocument/2006/relationships/table" Target="../tables/table72.xml"/><Relationship Id="rId5" Type="http://schemas.openxmlformats.org/officeDocument/2006/relationships/table" Target="../tables/table53.xml"/><Relationship Id="rId15" Type="http://schemas.openxmlformats.org/officeDocument/2006/relationships/table" Target="../tables/table63.xml"/><Relationship Id="rId23" Type="http://schemas.openxmlformats.org/officeDocument/2006/relationships/table" Target="../tables/table71.xml"/><Relationship Id="rId28" Type="http://schemas.openxmlformats.org/officeDocument/2006/relationships/table" Target="../tables/table76.xml"/><Relationship Id="rId10" Type="http://schemas.openxmlformats.org/officeDocument/2006/relationships/table" Target="../tables/table58.xml"/><Relationship Id="rId19" Type="http://schemas.openxmlformats.org/officeDocument/2006/relationships/table" Target="../tables/table67.xml"/><Relationship Id="rId4" Type="http://schemas.openxmlformats.org/officeDocument/2006/relationships/table" Target="../tables/table52.xml"/><Relationship Id="rId9" Type="http://schemas.openxmlformats.org/officeDocument/2006/relationships/table" Target="../tables/table57.xml"/><Relationship Id="rId14" Type="http://schemas.openxmlformats.org/officeDocument/2006/relationships/table" Target="../tables/table62.xml"/><Relationship Id="rId22" Type="http://schemas.openxmlformats.org/officeDocument/2006/relationships/table" Target="../tables/table70.xml"/><Relationship Id="rId27" Type="http://schemas.openxmlformats.org/officeDocument/2006/relationships/table" Target="../tables/table75.xml"/></Relationships>
</file>

<file path=xl/worksheets/_rels/sheet4.xml.rels><?xml version="1.0" encoding="UTF-8" standalone="yes"?>
<Relationships xmlns="http://schemas.openxmlformats.org/package/2006/relationships"><Relationship Id="rId8" Type="http://schemas.openxmlformats.org/officeDocument/2006/relationships/table" Target="../tables/table82.xml"/><Relationship Id="rId13" Type="http://schemas.openxmlformats.org/officeDocument/2006/relationships/table" Target="../tables/table87.xml"/><Relationship Id="rId18" Type="http://schemas.openxmlformats.org/officeDocument/2006/relationships/table" Target="../tables/table92.xml"/><Relationship Id="rId3" Type="http://schemas.openxmlformats.org/officeDocument/2006/relationships/tableSingleCells" Target="../tables/tableSingleCells3.xml"/><Relationship Id="rId21" Type="http://schemas.openxmlformats.org/officeDocument/2006/relationships/table" Target="../tables/table95.xml"/><Relationship Id="rId7" Type="http://schemas.openxmlformats.org/officeDocument/2006/relationships/table" Target="../tables/table81.xml"/><Relationship Id="rId12" Type="http://schemas.openxmlformats.org/officeDocument/2006/relationships/table" Target="../tables/table86.xml"/><Relationship Id="rId17" Type="http://schemas.openxmlformats.org/officeDocument/2006/relationships/table" Target="../tables/table91.xml"/><Relationship Id="rId2" Type="http://schemas.openxmlformats.org/officeDocument/2006/relationships/drawing" Target="../drawings/drawing4.xml"/><Relationship Id="rId16" Type="http://schemas.openxmlformats.org/officeDocument/2006/relationships/table" Target="../tables/table90.xml"/><Relationship Id="rId20" Type="http://schemas.openxmlformats.org/officeDocument/2006/relationships/table" Target="../tables/table94.xml"/><Relationship Id="rId1" Type="http://schemas.openxmlformats.org/officeDocument/2006/relationships/printerSettings" Target="../printerSettings/printerSettings3.bin"/><Relationship Id="rId6" Type="http://schemas.openxmlformats.org/officeDocument/2006/relationships/table" Target="../tables/table80.xml"/><Relationship Id="rId11" Type="http://schemas.openxmlformats.org/officeDocument/2006/relationships/table" Target="../tables/table85.xml"/><Relationship Id="rId5" Type="http://schemas.openxmlformats.org/officeDocument/2006/relationships/table" Target="../tables/table79.xml"/><Relationship Id="rId15" Type="http://schemas.openxmlformats.org/officeDocument/2006/relationships/table" Target="../tables/table89.xml"/><Relationship Id="rId10" Type="http://schemas.openxmlformats.org/officeDocument/2006/relationships/table" Target="../tables/table84.xml"/><Relationship Id="rId19" Type="http://schemas.openxmlformats.org/officeDocument/2006/relationships/table" Target="../tables/table93.xml"/><Relationship Id="rId4" Type="http://schemas.openxmlformats.org/officeDocument/2006/relationships/table" Target="../tables/table78.xml"/><Relationship Id="rId9" Type="http://schemas.openxmlformats.org/officeDocument/2006/relationships/table" Target="../tables/table83.xml"/><Relationship Id="rId14" Type="http://schemas.openxmlformats.org/officeDocument/2006/relationships/table" Target="../tables/table88.xml"/><Relationship Id="rId22" Type="http://schemas.openxmlformats.org/officeDocument/2006/relationships/table" Target="../tables/table96.xml"/></Relationships>
</file>

<file path=xl/worksheets/_rels/sheet5.xml.rels><?xml version="1.0" encoding="UTF-8" standalone="yes"?>
<Relationships xmlns="http://schemas.openxmlformats.org/package/2006/relationships"><Relationship Id="rId8" Type="http://schemas.openxmlformats.org/officeDocument/2006/relationships/table" Target="../tables/table103.xml"/><Relationship Id="rId3" Type="http://schemas.openxmlformats.org/officeDocument/2006/relationships/table" Target="../tables/table98.xml"/><Relationship Id="rId7" Type="http://schemas.openxmlformats.org/officeDocument/2006/relationships/table" Target="../tables/table102.xml"/><Relationship Id="rId12" Type="http://schemas.openxmlformats.org/officeDocument/2006/relationships/table" Target="../tables/table107.xml"/><Relationship Id="rId2" Type="http://schemas.openxmlformats.org/officeDocument/2006/relationships/table" Target="../tables/table97.xml"/><Relationship Id="rId1" Type="http://schemas.openxmlformats.org/officeDocument/2006/relationships/printerSettings" Target="../printerSettings/printerSettings4.bin"/><Relationship Id="rId6" Type="http://schemas.openxmlformats.org/officeDocument/2006/relationships/table" Target="../tables/table101.xml"/><Relationship Id="rId11" Type="http://schemas.openxmlformats.org/officeDocument/2006/relationships/table" Target="../tables/table106.xml"/><Relationship Id="rId5" Type="http://schemas.openxmlformats.org/officeDocument/2006/relationships/table" Target="../tables/table100.xml"/><Relationship Id="rId10" Type="http://schemas.openxmlformats.org/officeDocument/2006/relationships/table" Target="../tables/table105.xml"/><Relationship Id="rId4" Type="http://schemas.openxmlformats.org/officeDocument/2006/relationships/table" Target="../tables/table99.xml"/><Relationship Id="rId9" Type="http://schemas.openxmlformats.org/officeDocument/2006/relationships/table" Target="../tables/table104.xml"/></Relationships>
</file>

<file path=xl/worksheets/_rels/sheet6.xml.rels><?xml version="1.0" encoding="UTF-8" standalone="yes"?>
<Relationships xmlns="http://schemas.openxmlformats.org/package/2006/relationships"><Relationship Id="rId8" Type="http://schemas.openxmlformats.org/officeDocument/2006/relationships/table" Target="../tables/table111.xml"/><Relationship Id="rId13" Type="http://schemas.openxmlformats.org/officeDocument/2006/relationships/table" Target="../tables/table116.xml"/><Relationship Id="rId3" Type="http://schemas.openxmlformats.org/officeDocument/2006/relationships/control" Target="../activeX/activeX1.xml"/><Relationship Id="rId7" Type="http://schemas.openxmlformats.org/officeDocument/2006/relationships/table" Target="../tables/table110.xml"/><Relationship Id="rId12" Type="http://schemas.openxmlformats.org/officeDocument/2006/relationships/table" Target="../tables/table115.xml"/><Relationship Id="rId2" Type="http://schemas.openxmlformats.org/officeDocument/2006/relationships/vmlDrawing" Target="../drawings/vmlDrawing1.vml"/><Relationship Id="rId1" Type="http://schemas.openxmlformats.org/officeDocument/2006/relationships/drawing" Target="../drawings/drawing5.xml"/><Relationship Id="rId6" Type="http://schemas.openxmlformats.org/officeDocument/2006/relationships/table" Target="../tables/table109.xml"/><Relationship Id="rId11" Type="http://schemas.openxmlformats.org/officeDocument/2006/relationships/table" Target="../tables/table114.xml"/><Relationship Id="rId5" Type="http://schemas.openxmlformats.org/officeDocument/2006/relationships/table" Target="../tables/table108.xml"/><Relationship Id="rId10" Type="http://schemas.openxmlformats.org/officeDocument/2006/relationships/table" Target="../tables/table113.xml"/><Relationship Id="rId4" Type="http://schemas.openxmlformats.org/officeDocument/2006/relationships/image" Target="../media/image1.emf"/><Relationship Id="rId9" Type="http://schemas.openxmlformats.org/officeDocument/2006/relationships/table" Target="../tables/table112.xml"/><Relationship Id="rId14" Type="http://schemas.openxmlformats.org/officeDocument/2006/relationships/table" Target="../tables/table117.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Hoja6">
    <tabColor theme="4" tint="-0.499984740745262"/>
  </sheetPr>
  <dimension ref="B3:O27"/>
  <sheetViews>
    <sheetView showGridLines="0" zoomScale="115" zoomScaleNormal="115" workbookViewId="0">
      <selection activeCell="G4" sqref="G4"/>
    </sheetView>
  </sheetViews>
  <sheetFormatPr defaultColWidth="8.77734375" defaultRowHeight="14.4" x14ac:dyDescent="0.3"/>
  <cols>
    <col min="1" max="1" width="2.6640625" customWidth="1"/>
    <col min="2" max="2" width="5.33203125" customWidth="1"/>
    <col min="3" max="3" width="9.88671875" bestFit="1" customWidth="1"/>
    <col min="4" max="4" width="50.6640625" customWidth="1"/>
    <col min="5" max="5" width="8" bestFit="1" customWidth="1"/>
    <col min="6" max="6" width="3.77734375" customWidth="1"/>
    <col min="7" max="7" width="25.6640625" customWidth="1"/>
    <col min="8" max="8" width="10.109375" bestFit="1" customWidth="1"/>
    <col min="9" max="9" width="16.44140625" customWidth="1"/>
    <col min="10" max="10" width="50.6640625" customWidth="1"/>
    <col min="11" max="11" width="15.5546875" bestFit="1" customWidth="1"/>
    <col min="12" max="12" width="3.77734375" customWidth="1"/>
    <col min="13" max="13" width="26.109375" customWidth="1"/>
    <col min="14" max="14" width="14.33203125" bestFit="1" customWidth="1"/>
    <col min="15" max="15" width="3.6640625" customWidth="1"/>
  </cols>
  <sheetData>
    <row r="3" spans="2:15" x14ac:dyDescent="0.3">
      <c r="D3" s="4" t="s">
        <v>106</v>
      </c>
      <c r="E3" s="4" t="s">
        <v>68</v>
      </c>
      <c r="G3" s="19" t="s">
        <v>69</v>
      </c>
    </row>
    <row r="4" spans="2:15" ht="15" customHeight="1" x14ac:dyDescent="0.3">
      <c r="D4" s="90" t="s">
        <v>226</v>
      </c>
      <c r="E4" s="91" t="s">
        <v>304</v>
      </c>
      <c r="G4" s="80" t="s">
        <v>225</v>
      </c>
    </row>
    <row r="5" spans="2:15" x14ac:dyDescent="0.3">
      <c r="D5" t="s">
        <v>273</v>
      </c>
      <c r="E5" s="1" t="s">
        <v>255</v>
      </c>
    </row>
    <row r="6" spans="2:15" x14ac:dyDescent="0.3">
      <c r="D6" s="85" t="s">
        <v>305</v>
      </c>
      <c r="E6" s="86" t="s">
        <v>306</v>
      </c>
      <c r="G6" t="s">
        <v>273</v>
      </c>
      <c r="H6" s="21" t="s">
        <v>70</v>
      </c>
    </row>
    <row r="7" spans="2:15" x14ac:dyDescent="0.3">
      <c r="D7" s="85" t="s">
        <v>227</v>
      </c>
      <c r="E7" s="86" t="s">
        <v>74</v>
      </c>
      <c r="G7" s="92" t="s">
        <v>72</v>
      </c>
      <c r="H7" s="93">
        <v>2208</v>
      </c>
    </row>
    <row r="11" spans="2:15" x14ac:dyDescent="0.3">
      <c r="B11" s="3"/>
      <c r="C11" s="3"/>
      <c r="D11" s="3"/>
      <c r="E11" s="3"/>
      <c r="F11" s="3"/>
      <c r="G11" s="3"/>
      <c r="H11" s="3"/>
      <c r="I11" s="3"/>
      <c r="J11" s="3"/>
      <c r="K11" s="3"/>
      <c r="L11" s="3"/>
      <c r="M11" s="3"/>
      <c r="N11" s="3"/>
      <c r="O11" s="3"/>
    </row>
    <row r="15" spans="2:15" x14ac:dyDescent="0.3">
      <c r="E15" s="4" t="s">
        <v>68</v>
      </c>
      <c r="K15" s="4" t="s">
        <v>68</v>
      </c>
    </row>
    <row r="16" spans="2:15" x14ac:dyDescent="0.3">
      <c r="E16" s="25"/>
      <c r="F16" s="105"/>
      <c r="K16" s="119" t="s">
        <v>149</v>
      </c>
      <c r="L16" s="105"/>
    </row>
    <row r="17" spans="4:13" x14ac:dyDescent="0.3">
      <c r="D17" t="s">
        <v>273</v>
      </c>
      <c r="E17" s="1" t="s">
        <v>88</v>
      </c>
      <c r="G17" s="112" t="s">
        <v>247</v>
      </c>
      <c r="J17" t="s">
        <v>0</v>
      </c>
      <c r="K17" s="1" t="s">
        <v>88</v>
      </c>
      <c r="M17" s="112" t="s">
        <v>247</v>
      </c>
    </row>
    <row r="18" spans="4:13" x14ac:dyDescent="0.3">
      <c r="D18" s="85" t="s">
        <v>307</v>
      </c>
      <c r="E18" s="86" t="s">
        <v>306</v>
      </c>
      <c r="G18" s="113" t="s">
        <v>241</v>
      </c>
      <c r="J18" s="85" t="s">
        <v>310</v>
      </c>
      <c r="K18" s="86" t="s">
        <v>306</v>
      </c>
      <c r="M18" s="113" t="s">
        <v>246</v>
      </c>
    </row>
    <row r="19" spans="4:13" x14ac:dyDescent="0.3">
      <c r="D19" s="85" t="s">
        <v>240</v>
      </c>
      <c r="E19" s="86" t="s">
        <v>74</v>
      </c>
      <c r="G19" s="106"/>
      <c r="J19" s="85" t="s">
        <v>245</v>
      </c>
      <c r="K19" s="86" t="s">
        <v>74</v>
      </c>
      <c r="M19" s="106"/>
    </row>
    <row r="20" spans="4:13" x14ac:dyDescent="0.3">
      <c r="D20" s="107"/>
      <c r="E20" s="108"/>
      <c r="J20" s="107"/>
      <c r="K20" s="108"/>
    </row>
    <row r="21" spans="4:13" x14ac:dyDescent="0.3">
      <c r="D21" s="109"/>
      <c r="E21" s="110"/>
      <c r="J21" s="109"/>
      <c r="K21" s="110"/>
    </row>
    <row r="22" spans="4:13" x14ac:dyDescent="0.3">
      <c r="D22" s="109"/>
      <c r="E22" s="110"/>
      <c r="J22" s="109"/>
      <c r="K22" s="110"/>
    </row>
    <row r="23" spans="4:13" x14ac:dyDescent="0.3">
      <c r="F23" s="106"/>
      <c r="L23" s="106"/>
    </row>
    <row r="24" spans="4:13" x14ac:dyDescent="0.3">
      <c r="D24" t="s">
        <v>242</v>
      </c>
      <c r="E24" s="1" t="s">
        <v>88</v>
      </c>
      <c r="F24" s="106"/>
      <c r="J24" t="s">
        <v>242</v>
      </c>
      <c r="K24" s="1" t="s">
        <v>88</v>
      </c>
      <c r="L24" s="106"/>
    </row>
    <row r="25" spans="4:13" ht="210" customHeight="1" x14ac:dyDescent="0.3">
      <c r="D25" s="111" t="s">
        <v>308</v>
      </c>
      <c r="E25" s="86" t="s">
        <v>306</v>
      </c>
      <c r="J25" s="111" t="s">
        <v>312</v>
      </c>
      <c r="K25" s="86" t="s">
        <v>306</v>
      </c>
    </row>
    <row r="26" spans="4:13" ht="210" customHeight="1" x14ac:dyDescent="0.3">
      <c r="D26" s="111" t="s">
        <v>309</v>
      </c>
      <c r="E26" s="86" t="s">
        <v>74</v>
      </c>
      <c r="J26" s="111" t="s">
        <v>311</v>
      </c>
      <c r="K26" s="86" t="s">
        <v>74</v>
      </c>
    </row>
    <row r="27" spans="4:13" x14ac:dyDescent="0.3">
      <c r="J27" s="120"/>
      <c r="K27" s="18"/>
    </row>
  </sheetData>
  <pageMargins left="0.7" right="0.7" top="0.75" bottom="0.75" header="0.3" footer="0.3"/>
  <pageSetup orientation="portrait" horizontalDpi="4294967293" r:id="rId1"/>
  <drawing r:id="rId2"/>
  <tableParts count="6">
    <tablePart r:id="rId4"/>
    <tablePart r:id="rId5"/>
    <tablePart r:id="rId6"/>
    <tablePart r:id="rId7"/>
    <tablePart r:id="rId8"/>
    <tablePart r:id="rId9"/>
  </tableParts>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Hoja2">
    <tabColor rgb="FFA27F19"/>
  </sheetPr>
  <dimension ref="B3:T164"/>
  <sheetViews>
    <sheetView showGridLines="0" tabSelected="1" topLeftCell="A21" zoomScaleNormal="100" workbookViewId="0"/>
  </sheetViews>
  <sheetFormatPr defaultColWidth="8.77734375" defaultRowHeight="14.4" x14ac:dyDescent="0.3"/>
  <cols>
    <col min="1" max="1" width="2.6640625" customWidth="1"/>
    <col min="2" max="2" width="5.33203125" customWidth="1"/>
    <col min="3" max="3" width="50.6640625" customWidth="1"/>
    <col min="4" max="4" width="12.44140625" customWidth="1"/>
    <col min="5" max="5" width="12.109375" bestFit="1" customWidth="1"/>
    <col min="6" max="6" width="13.6640625" customWidth="1"/>
    <col min="7" max="7" width="13.77734375" bestFit="1" customWidth="1"/>
    <col min="8" max="8" width="6.77734375" bestFit="1" customWidth="1"/>
    <col min="9" max="9" width="11.88671875" bestFit="1" customWidth="1"/>
    <col min="10" max="10" width="12.109375" bestFit="1" customWidth="1"/>
    <col min="11" max="11" width="50.6640625" customWidth="1"/>
    <col min="12" max="12" width="9.109375" bestFit="1" customWidth="1"/>
    <col min="13" max="13" width="0.77734375" customWidth="1"/>
    <col min="14" max="14" width="15.44140625" customWidth="1"/>
    <col min="15" max="15" width="11.109375" customWidth="1"/>
    <col min="16" max="16" width="14.33203125" customWidth="1"/>
    <col min="17" max="17" width="0.77734375" customWidth="1"/>
    <col min="18" max="18" width="12.6640625" bestFit="1" customWidth="1"/>
    <col min="19" max="19" width="13.33203125" bestFit="1" customWidth="1"/>
    <col min="22" max="22" width="17.33203125" bestFit="1" customWidth="1"/>
  </cols>
  <sheetData>
    <row r="3" spans="2:20" ht="15" customHeight="1" x14ac:dyDescent="0.3"/>
    <row r="10" spans="2:20" x14ac:dyDescent="0.3">
      <c r="B10" s="5"/>
      <c r="C10" s="5"/>
      <c r="D10" s="5"/>
      <c r="E10" s="5"/>
      <c r="F10" s="5"/>
      <c r="G10" s="5"/>
      <c r="H10" s="5"/>
      <c r="I10" s="5"/>
      <c r="J10" s="5"/>
      <c r="K10" s="5"/>
      <c r="L10" s="5"/>
      <c r="N10" s="5"/>
      <c r="O10" s="5"/>
      <c r="P10" s="5"/>
      <c r="Q10" s="5"/>
      <c r="R10" s="5"/>
      <c r="S10" s="5"/>
      <c r="T10" s="5"/>
    </row>
    <row r="12" spans="2:20" x14ac:dyDescent="0.3">
      <c r="C12" t="s">
        <v>273</v>
      </c>
      <c r="D12" s="1" t="s">
        <v>255</v>
      </c>
      <c r="K12" t="s">
        <v>242</v>
      </c>
      <c r="L12" t="s">
        <v>255</v>
      </c>
    </row>
    <row r="13" spans="2:20" ht="28.2" customHeight="1" x14ac:dyDescent="0.3">
      <c r="C13" s="94"/>
      <c r="D13" s="86" t="s">
        <v>73</v>
      </c>
      <c r="K13" s="28"/>
      <c r="L13" s="18" t="s">
        <v>73</v>
      </c>
    </row>
    <row r="14" spans="2:20" ht="28.2" customHeight="1" x14ac:dyDescent="0.3">
      <c r="C14" s="94"/>
      <c r="D14" s="86" t="s">
        <v>74</v>
      </c>
      <c r="K14" s="29"/>
      <c r="L14" s="18" t="s">
        <v>74</v>
      </c>
    </row>
    <row r="15" spans="2:20" ht="15" customHeight="1" x14ac:dyDescent="0.3">
      <c r="C15" s="27"/>
      <c r="D15" s="18"/>
      <c r="K15" s="29"/>
      <c r="L15" s="18"/>
      <c r="O15" s="16"/>
      <c r="P15" s="10"/>
    </row>
    <row r="16" spans="2:20" ht="15" customHeight="1" x14ac:dyDescent="0.3">
      <c r="C16" s="152" t="s">
        <v>136</v>
      </c>
      <c r="D16" s="153"/>
      <c r="K16" s="152" t="s">
        <v>19</v>
      </c>
      <c r="L16" s="153"/>
      <c r="O16" s="16"/>
      <c r="P16" s="10"/>
    </row>
    <row r="17" spans="3:19" ht="15" customHeight="1" x14ac:dyDescent="0.3">
      <c r="C17" s="21" t="s">
        <v>137</v>
      </c>
      <c r="D17" s="22" t="s">
        <v>138</v>
      </c>
      <c r="K17" t="s">
        <v>273</v>
      </c>
      <c r="L17" t="s">
        <v>255</v>
      </c>
      <c r="O17" s="16"/>
      <c r="P17" s="10"/>
    </row>
    <row r="18" spans="3:19" ht="27.75" customHeight="1" x14ac:dyDescent="0.3">
      <c r="C18" s="32"/>
      <c r="D18" s="33"/>
      <c r="K18" s="34"/>
      <c r="L18" s="18" t="s">
        <v>73</v>
      </c>
    </row>
    <row r="19" spans="3:19" ht="14.4" customHeight="1" x14ac:dyDescent="0.3">
      <c r="L19" s="18"/>
    </row>
    <row r="23" spans="3:19" x14ac:dyDescent="0.3">
      <c r="C23" s="35" t="s">
        <v>68</v>
      </c>
      <c r="D23" s="121"/>
    </row>
    <row r="24" spans="3:19" x14ac:dyDescent="0.3">
      <c r="C24" t="s">
        <v>273</v>
      </c>
      <c r="D24" s="1" t="s">
        <v>255</v>
      </c>
      <c r="F24" s="37" t="s">
        <v>322</v>
      </c>
      <c r="H24" s="37" t="s">
        <v>303</v>
      </c>
    </row>
    <row r="25" spans="3:19" x14ac:dyDescent="0.3">
      <c r="C25" s="94" t="s">
        <v>319</v>
      </c>
      <c r="D25" s="86" t="s">
        <v>306</v>
      </c>
      <c r="F25" s="113"/>
      <c r="H25" s="113"/>
      <c r="N25" s="39" t="s">
        <v>97</v>
      </c>
      <c r="O25" s="7"/>
      <c r="P25" s="7"/>
      <c r="Q25" s="7"/>
      <c r="R25" s="7"/>
      <c r="S25" s="31"/>
    </row>
    <row r="26" spans="3:19" x14ac:dyDescent="0.3">
      <c r="C26" s="94" t="s">
        <v>250</v>
      </c>
      <c r="D26" s="86" t="s">
        <v>74</v>
      </c>
      <c r="K26" s="35" t="s">
        <v>68</v>
      </c>
      <c r="L26" s="36"/>
      <c r="N26" s="40" t="s">
        <v>100</v>
      </c>
      <c r="O26" s="75"/>
      <c r="P26" s="75"/>
      <c r="Q26" s="75"/>
      <c r="R26" s="75"/>
      <c r="S26" s="75"/>
    </row>
    <row r="27" spans="3:19" x14ac:dyDescent="0.3">
      <c r="K27" t="s">
        <v>242</v>
      </c>
      <c r="L27" t="s">
        <v>255</v>
      </c>
      <c r="N27" t="s">
        <v>273</v>
      </c>
      <c r="O27" t="s">
        <v>104</v>
      </c>
      <c r="P27" t="s">
        <v>324</v>
      </c>
      <c r="R27" t="s">
        <v>323</v>
      </c>
      <c r="S27" t="s">
        <v>262</v>
      </c>
    </row>
    <row r="28" spans="3:19" x14ac:dyDescent="0.3">
      <c r="C28" s="41" t="s">
        <v>353</v>
      </c>
      <c r="D28" s="42"/>
      <c r="E28" s="42"/>
      <c r="F28" s="42"/>
      <c r="K28" s="34"/>
      <c r="L28" s="43" t="s">
        <v>73</v>
      </c>
      <c r="O28" s="17"/>
      <c r="P28" t="str" cm="1">
        <f t="array" aca="1" ref="P28" ca="1">_xlfn.XLOOKUP($S28,INDIRECT($R28),INDIRECT($R28&amp;"_Platino"),"No Existe")</f>
        <v>\kelvin</v>
      </c>
      <c r="R28" t="s">
        <v>130</v>
      </c>
      <c r="S28" t="s">
        <v>31</v>
      </c>
    </row>
    <row r="29" spans="3:19" x14ac:dyDescent="0.3">
      <c r="C29" s="30"/>
      <c r="D29" s="44"/>
      <c r="E29" s="44"/>
      <c r="F29" s="31"/>
      <c r="K29" s="34"/>
      <c r="L29" s="43" t="s">
        <v>74</v>
      </c>
      <c r="O29" s="17"/>
      <c r="P29" t="str" cm="1">
        <f t="array" aca="1" ref="P29" ca="1">_xlfn.XLOOKUP($S29,INDIRECT($R29),INDIRECT($R29&amp;"_Platino"),"No Existe")</f>
        <v>\degreeCelsius</v>
      </c>
      <c r="R29" t="s">
        <v>131</v>
      </c>
      <c r="S29" t="s">
        <v>328</v>
      </c>
    </row>
    <row r="30" spans="3:19" x14ac:dyDescent="0.3">
      <c r="C30" t="s">
        <v>273</v>
      </c>
      <c r="D30" t="s">
        <v>255</v>
      </c>
      <c r="E30" t="s">
        <v>325</v>
      </c>
      <c r="F30" t="s">
        <v>104</v>
      </c>
    </row>
    <row r="31" spans="3:19" x14ac:dyDescent="0.3">
      <c r="C31" s="34" t="s">
        <v>320</v>
      </c>
      <c r="D31" s="43" t="s">
        <v>74</v>
      </c>
      <c r="E31" s="34"/>
      <c r="F31" s="34"/>
    </row>
    <row r="32" spans="3:19" x14ac:dyDescent="0.3">
      <c r="C32" s="34" t="s">
        <v>321</v>
      </c>
      <c r="D32" s="43" t="s">
        <v>74</v>
      </c>
      <c r="E32" s="34"/>
      <c r="F32" s="43"/>
    </row>
    <row r="34" spans="3:18" x14ac:dyDescent="0.3">
      <c r="K34" s="150" t="s">
        <v>94</v>
      </c>
      <c r="L34" s="151"/>
      <c r="M34" s="151"/>
      <c r="N34" s="151"/>
      <c r="O34" s="151"/>
      <c r="P34" s="151"/>
      <c r="Q34" s="151"/>
      <c r="R34" s="151"/>
    </row>
    <row r="35" spans="3:18" x14ac:dyDescent="0.3">
      <c r="C35" s="152" t="s">
        <v>136</v>
      </c>
      <c r="D35" s="153"/>
    </row>
    <row r="36" spans="3:18" x14ac:dyDescent="0.3">
      <c r="C36" s="20" t="s">
        <v>137</v>
      </c>
      <c r="D36" s="22" t="s">
        <v>138</v>
      </c>
      <c r="K36" s="30" t="s">
        <v>98</v>
      </c>
      <c r="L36" s="44"/>
      <c r="M36" s="44"/>
      <c r="N36" s="44"/>
      <c r="O36" s="44"/>
      <c r="P36" s="44"/>
      <c r="Q36" s="44"/>
      <c r="R36" s="31"/>
    </row>
    <row r="37" spans="3:18" x14ac:dyDescent="0.3">
      <c r="C37" s="92"/>
      <c r="D37" s="93"/>
      <c r="K37" t="s">
        <v>90</v>
      </c>
      <c r="L37" t="s">
        <v>1</v>
      </c>
      <c r="N37" s="50" t="s">
        <v>92</v>
      </c>
      <c r="P37" s="50" t="s">
        <v>91</v>
      </c>
      <c r="R37" s="50" t="s">
        <v>6</v>
      </c>
    </row>
    <row r="38" spans="3:18" x14ac:dyDescent="0.3">
      <c r="K38" s="34"/>
      <c r="L38" s="43" t="s">
        <v>73</v>
      </c>
      <c r="N38" s="51"/>
      <c r="P38" s="51"/>
      <c r="R38" s="51"/>
    </row>
    <row r="40" spans="3:18" x14ac:dyDescent="0.3">
      <c r="K40" s="30" t="s">
        <v>93</v>
      </c>
      <c r="L40" s="44"/>
      <c r="M40" s="44"/>
      <c r="N40" s="44"/>
      <c r="O40" s="44"/>
      <c r="P40" s="44"/>
      <c r="Q40" s="44"/>
      <c r="R40" s="31"/>
    </row>
    <row r="41" spans="3:18" x14ac:dyDescent="0.3">
      <c r="K41" t="s">
        <v>90</v>
      </c>
      <c r="L41" t="s">
        <v>1</v>
      </c>
      <c r="N41" s="50" t="s">
        <v>92</v>
      </c>
      <c r="P41" s="50" t="s">
        <v>91</v>
      </c>
      <c r="R41" s="50" t="s">
        <v>6</v>
      </c>
    </row>
    <row r="42" spans="3:18" x14ac:dyDescent="0.3">
      <c r="K42" s="34"/>
      <c r="L42" s="43" t="s">
        <v>73</v>
      </c>
      <c r="N42" s="51"/>
      <c r="P42" s="51"/>
      <c r="R42" s="51"/>
    </row>
    <row r="47" spans="3:18" x14ac:dyDescent="0.3">
      <c r="C47" s="35" t="s">
        <v>68</v>
      </c>
      <c r="D47" s="36"/>
    </row>
    <row r="48" spans="3:18" x14ac:dyDescent="0.3">
      <c r="C48" t="s">
        <v>0</v>
      </c>
      <c r="D48" s="1" t="s">
        <v>1</v>
      </c>
      <c r="E48" t="s">
        <v>301</v>
      </c>
      <c r="F48" t="s">
        <v>302</v>
      </c>
      <c r="G48" t="s">
        <v>254</v>
      </c>
      <c r="H48" t="s">
        <v>88</v>
      </c>
      <c r="I48" t="s">
        <v>253</v>
      </c>
      <c r="J48" t="s">
        <v>257</v>
      </c>
      <c r="K48" t="s">
        <v>104</v>
      </c>
      <c r="L48" t="s">
        <v>75</v>
      </c>
      <c r="M48" t="s">
        <v>300</v>
      </c>
      <c r="N48" t="s">
        <v>303</v>
      </c>
    </row>
    <row r="49" spans="3:14" x14ac:dyDescent="0.3">
      <c r="C49" s="94" t="s">
        <v>250</v>
      </c>
      <c r="D49" s="86" t="s">
        <v>74</v>
      </c>
      <c r="E49" s="81"/>
      <c r="F49" s="81"/>
      <c r="G49" s="81"/>
      <c r="H49" s="81"/>
      <c r="I49" s="81"/>
      <c r="J49" s="81"/>
      <c r="K49" s="81"/>
      <c r="L49" s="81"/>
      <c r="N49" s="81"/>
    </row>
    <row r="50" spans="3:14" x14ac:dyDescent="0.3">
      <c r="C50" s="94"/>
      <c r="D50" s="86"/>
      <c r="E50" s="81"/>
      <c r="F50" s="81"/>
      <c r="G50" s="81"/>
      <c r="H50" s="81"/>
      <c r="I50" s="81"/>
      <c r="J50" s="81"/>
      <c r="K50" s="81"/>
      <c r="L50" s="81"/>
      <c r="N50" s="81"/>
    </row>
    <row r="71" spans="3:19" x14ac:dyDescent="0.3">
      <c r="C71" s="35" t="s">
        <v>68</v>
      </c>
      <c r="D71" s="36"/>
    </row>
    <row r="72" spans="3:19" x14ac:dyDescent="0.3">
      <c r="C72" t="s">
        <v>273</v>
      </c>
      <c r="D72" s="1" t="s">
        <v>255</v>
      </c>
      <c r="F72" s="37" t="s">
        <v>322</v>
      </c>
      <c r="H72" s="37" t="s">
        <v>303</v>
      </c>
    </row>
    <row r="73" spans="3:19" x14ac:dyDescent="0.3">
      <c r="C73" s="56"/>
      <c r="D73" s="18" t="s">
        <v>73</v>
      </c>
      <c r="F73" s="38"/>
      <c r="H73" s="38"/>
      <c r="N73" s="39" t="s">
        <v>97</v>
      </c>
      <c r="O73" s="7"/>
      <c r="P73" s="7"/>
      <c r="Q73" s="7"/>
      <c r="R73" s="7"/>
      <c r="S73" s="31"/>
    </row>
    <row r="74" spans="3:19" ht="15" thickBot="1" x14ac:dyDescent="0.35">
      <c r="C74" s="56"/>
      <c r="D74" s="18" t="s">
        <v>74</v>
      </c>
      <c r="K74" s="35" t="s">
        <v>68</v>
      </c>
      <c r="L74" s="36"/>
      <c r="N74" s="148" t="s">
        <v>100</v>
      </c>
      <c r="O74" s="149"/>
      <c r="P74" s="149"/>
      <c r="Q74" s="149"/>
      <c r="R74" s="149"/>
      <c r="S74" s="149"/>
    </row>
    <row r="75" spans="3:19" x14ac:dyDescent="0.3">
      <c r="K75" t="s">
        <v>242</v>
      </c>
      <c r="L75" t="s">
        <v>1</v>
      </c>
      <c r="N75" s="145" t="s">
        <v>103</v>
      </c>
      <c r="O75" s="146" t="s">
        <v>104</v>
      </c>
      <c r="P75" s="146" t="s">
        <v>262</v>
      </c>
      <c r="R75" t="s">
        <v>323</v>
      </c>
      <c r="S75" t="s">
        <v>262</v>
      </c>
    </row>
    <row r="76" spans="3:19" x14ac:dyDescent="0.3">
      <c r="C76" s="41" t="s">
        <v>76</v>
      </c>
      <c r="D76" s="42"/>
      <c r="E76" s="42"/>
      <c r="F76" s="42"/>
      <c r="G76" s="42"/>
      <c r="H76" s="42"/>
      <c r="K76" s="34"/>
      <c r="L76" s="43" t="s">
        <v>73</v>
      </c>
      <c r="N76" s="58"/>
      <c r="O76" s="17"/>
      <c r="P76" t="str" cm="1">
        <f t="array" aca="1" ref="P76" ca="1">_xlfn.XLOOKUP($S76,INDIRECT($R76),INDIRECT($R76&amp;"_Platino"),"No Existe")</f>
        <v>\kelvin</v>
      </c>
      <c r="R76" t="s">
        <v>130</v>
      </c>
      <c r="S76" t="s">
        <v>31</v>
      </c>
    </row>
    <row r="77" spans="3:19" x14ac:dyDescent="0.3">
      <c r="C77" s="30" t="s">
        <v>77</v>
      </c>
      <c r="D77" s="44"/>
      <c r="E77" s="44"/>
      <c r="F77" s="44"/>
      <c r="G77" s="44"/>
      <c r="H77" s="31"/>
      <c r="K77" s="34"/>
      <c r="L77" s="43" t="s">
        <v>74</v>
      </c>
      <c r="N77" s="59"/>
      <c r="O77" s="17"/>
      <c r="P77" t="str" cm="1">
        <f t="array" aca="1" ref="P77" ca="1">_xlfn.XLOOKUP($S77,INDIRECT($R77),INDIRECT($R77&amp;"_Platino"),"No Existe")</f>
        <v>\degreeCelsius</v>
      </c>
      <c r="R77" t="s">
        <v>4</v>
      </c>
      <c r="S77" t="s">
        <v>328</v>
      </c>
    </row>
    <row r="78" spans="3:19" x14ac:dyDescent="0.3">
      <c r="C78" s="54" t="s">
        <v>273</v>
      </c>
      <c r="D78" s="55" t="s">
        <v>255</v>
      </c>
      <c r="F78" s="45" t="s">
        <v>337</v>
      </c>
      <c r="H78" s="46" t="s">
        <v>104</v>
      </c>
    </row>
    <row r="79" spans="3:19" x14ac:dyDescent="0.3">
      <c r="C79" s="56" t="s">
        <v>79</v>
      </c>
      <c r="D79" s="18" t="s">
        <v>73</v>
      </c>
      <c r="F79" s="144"/>
      <c r="H79" s="47"/>
    </row>
    <row r="80" spans="3:19" x14ac:dyDescent="0.3">
      <c r="C80" s="56" t="s">
        <v>80</v>
      </c>
      <c r="D80" s="18" t="s">
        <v>74</v>
      </c>
    </row>
    <row r="82" spans="3:19" x14ac:dyDescent="0.3">
      <c r="C82" s="30" t="s">
        <v>78</v>
      </c>
      <c r="D82" s="44"/>
      <c r="E82" s="44"/>
      <c r="F82" s="44"/>
      <c r="G82" s="44"/>
      <c r="H82" s="31"/>
      <c r="K82" s="150" t="s">
        <v>94</v>
      </c>
      <c r="L82" s="151"/>
      <c r="M82" s="151"/>
      <c r="N82" s="151"/>
      <c r="O82" s="151"/>
      <c r="P82" s="151"/>
      <c r="Q82" s="151"/>
      <c r="R82" s="151"/>
    </row>
    <row r="83" spans="3:19" x14ac:dyDescent="0.3">
      <c r="C83" s="54" t="s">
        <v>273</v>
      </c>
      <c r="D83" s="55" t="s">
        <v>255</v>
      </c>
      <c r="F83" s="48" t="s">
        <v>338</v>
      </c>
      <c r="H83" s="46" t="s">
        <v>104</v>
      </c>
    </row>
    <row r="84" spans="3:19" x14ac:dyDescent="0.3">
      <c r="C84" s="56" t="s">
        <v>78</v>
      </c>
      <c r="D84" s="18" t="s">
        <v>73</v>
      </c>
      <c r="F84" s="144"/>
      <c r="H84" s="49"/>
      <c r="K84" s="30" t="s">
        <v>98</v>
      </c>
      <c r="L84" s="44"/>
      <c r="M84" s="44"/>
      <c r="N84" s="44"/>
      <c r="O84" s="44"/>
      <c r="P84" s="44"/>
      <c r="Q84" s="44"/>
      <c r="R84" s="31"/>
    </row>
    <row r="85" spans="3:19" x14ac:dyDescent="0.3">
      <c r="C85" s="56" t="s">
        <v>81</v>
      </c>
      <c r="D85" s="18" t="s">
        <v>74</v>
      </c>
      <c r="K85" t="s">
        <v>90</v>
      </c>
      <c r="L85" t="s">
        <v>1</v>
      </c>
      <c r="N85" s="50" t="s">
        <v>92</v>
      </c>
      <c r="P85" s="50" t="s">
        <v>91</v>
      </c>
      <c r="R85" s="50" t="s">
        <v>6</v>
      </c>
    </row>
    <row r="86" spans="3:19" x14ac:dyDescent="0.3">
      <c r="C86" s="18"/>
      <c r="D86" s="57"/>
      <c r="K86" s="34"/>
      <c r="L86" s="43" t="s">
        <v>73</v>
      </c>
      <c r="N86" s="51"/>
      <c r="P86" s="51"/>
      <c r="R86" s="51"/>
    </row>
    <row r="87" spans="3:19" x14ac:dyDescent="0.3">
      <c r="C87" s="152" t="s">
        <v>136</v>
      </c>
      <c r="D87" s="153"/>
    </row>
    <row r="88" spans="3:19" x14ac:dyDescent="0.3">
      <c r="C88" s="21" t="s">
        <v>137</v>
      </c>
      <c r="D88" s="22" t="s">
        <v>138</v>
      </c>
      <c r="K88" s="30" t="s">
        <v>93</v>
      </c>
      <c r="L88" s="44"/>
      <c r="M88" s="44"/>
      <c r="N88" s="44"/>
      <c r="O88" s="44"/>
      <c r="P88" s="44"/>
      <c r="Q88" s="44"/>
      <c r="R88" s="31"/>
    </row>
    <row r="89" spans="3:19" x14ac:dyDescent="0.3">
      <c r="C89" s="32"/>
      <c r="D89" s="33"/>
      <c r="K89" t="s">
        <v>90</v>
      </c>
      <c r="L89" t="s">
        <v>1</v>
      </c>
      <c r="N89" s="50" t="s">
        <v>92</v>
      </c>
      <c r="P89" s="50" t="s">
        <v>91</v>
      </c>
      <c r="R89" s="50" t="s">
        <v>6</v>
      </c>
    </row>
    <row r="90" spans="3:19" x14ac:dyDescent="0.3">
      <c r="K90" s="34"/>
      <c r="L90" s="43" t="s">
        <v>73</v>
      </c>
      <c r="N90" s="51"/>
      <c r="P90" s="51"/>
      <c r="R90" s="51"/>
    </row>
    <row r="94" spans="3:19" x14ac:dyDescent="0.3">
      <c r="C94" s="35" t="s">
        <v>68</v>
      </c>
      <c r="D94" s="36"/>
    </row>
    <row r="95" spans="3:19" x14ac:dyDescent="0.3">
      <c r="C95" t="s">
        <v>273</v>
      </c>
      <c r="D95" s="1" t="s">
        <v>255</v>
      </c>
      <c r="F95" s="37" t="s">
        <v>322</v>
      </c>
      <c r="H95" s="37" t="s">
        <v>303</v>
      </c>
    </row>
    <row r="96" spans="3:19" x14ac:dyDescent="0.3">
      <c r="C96" s="56"/>
      <c r="D96" s="18" t="s">
        <v>73</v>
      </c>
      <c r="F96" s="38"/>
      <c r="H96" s="38"/>
      <c r="N96" s="39" t="s">
        <v>97</v>
      </c>
      <c r="O96" s="7"/>
      <c r="P96" s="7"/>
      <c r="Q96" s="7"/>
      <c r="R96" s="7"/>
      <c r="S96" s="31"/>
    </row>
    <row r="97" spans="3:19" ht="15" thickBot="1" x14ac:dyDescent="0.35">
      <c r="C97" s="56"/>
      <c r="D97" s="18" t="s">
        <v>74</v>
      </c>
      <c r="K97" s="35" t="s">
        <v>68</v>
      </c>
      <c r="L97" s="36"/>
      <c r="N97" s="148" t="s">
        <v>100</v>
      </c>
      <c r="O97" s="149"/>
      <c r="P97" s="149"/>
      <c r="Q97" s="149"/>
      <c r="R97" s="149"/>
      <c r="S97" s="149"/>
    </row>
    <row r="98" spans="3:19" x14ac:dyDescent="0.3">
      <c r="K98" t="s">
        <v>242</v>
      </c>
      <c r="L98" t="s">
        <v>1</v>
      </c>
      <c r="N98" s="145" t="s">
        <v>103</v>
      </c>
      <c r="O98" s="146" t="s">
        <v>104</v>
      </c>
      <c r="P98" s="146" t="s">
        <v>262</v>
      </c>
      <c r="R98" t="s">
        <v>323</v>
      </c>
      <c r="S98" t="s">
        <v>262</v>
      </c>
    </row>
    <row r="99" spans="3:19" x14ac:dyDescent="0.3">
      <c r="C99" s="41" t="s">
        <v>76</v>
      </c>
      <c r="D99" s="42"/>
      <c r="E99" s="42"/>
      <c r="F99" s="42"/>
      <c r="G99" s="42"/>
      <c r="H99" s="42"/>
      <c r="K99" s="34"/>
      <c r="L99" s="43" t="s">
        <v>73</v>
      </c>
      <c r="N99" s="58"/>
      <c r="O99" s="17"/>
      <c r="P99" t="str" cm="1">
        <f t="array" aca="1" ref="P99" ca="1">_xlfn.XLOOKUP($S99,INDIRECT($R99),INDIRECT($R99&amp;"_Platino"),"No Existe")</f>
        <v>\kelvin</v>
      </c>
      <c r="R99" t="s">
        <v>130</v>
      </c>
      <c r="S99" t="s">
        <v>31</v>
      </c>
    </row>
    <row r="100" spans="3:19" x14ac:dyDescent="0.3">
      <c r="C100" s="30" t="s">
        <v>77</v>
      </c>
      <c r="D100" s="44"/>
      <c r="E100" s="44"/>
      <c r="F100" s="44"/>
      <c r="G100" s="44"/>
      <c r="H100" s="31"/>
      <c r="K100" s="34"/>
      <c r="L100" s="43" t="s">
        <v>74</v>
      </c>
      <c r="N100" s="59"/>
      <c r="O100" s="17"/>
      <c r="P100" t="str" cm="1">
        <f t="array" aca="1" ref="P100" ca="1">_xlfn.XLOOKUP($S100,INDIRECT($R100),INDIRECT($R100&amp;"_Platino"),"No Existe")</f>
        <v>\degreeCelsius</v>
      </c>
      <c r="R100" t="s">
        <v>4</v>
      </c>
      <c r="S100" t="s">
        <v>328</v>
      </c>
    </row>
    <row r="101" spans="3:19" x14ac:dyDescent="0.3">
      <c r="C101" s="54" t="s">
        <v>273</v>
      </c>
      <c r="D101" s="55" t="s">
        <v>255</v>
      </c>
      <c r="F101" s="45" t="s">
        <v>337</v>
      </c>
      <c r="H101" s="46" t="s">
        <v>104</v>
      </c>
    </row>
    <row r="102" spans="3:19" x14ac:dyDescent="0.3">
      <c r="C102" s="56" t="s">
        <v>79</v>
      </c>
      <c r="D102" s="18" t="s">
        <v>73</v>
      </c>
      <c r="F102" s="47"/>
      <c r="H102" s="47"/>
    </row>
    <row r="103" spans="3:19" x14ac:dyDescent="0.3">
      <c r="C103" s="56" t="s">
        <v>80</v>
      </c>
      <c r="D103" s="18" t="s">
        <v>74</v>
      </c>
    </row>
    <row r="105" spans="3:19" x14ac:dyDescent="0.3">
      <c r="C105" s="30" t="s">
        <v>78</v>
      </c>
      <c r="D105" s="44"/>
      <c r="E105" s="44"/>
      <c r="F105" s="44"/>
      <c r="G105" s="44"/>
      <c r="H105" s="31"/>
      <c r="K105" s="150" t="s">
        <v>94</v>
      </c>
      <c r="L105" s="151"/>
      <c r="M105" s="151"/>
      <c r="N105" s="151"/>
      <c r="O105" s="151"/>
      <c r="P105" s="151"/>
      <c r="Q105" s="151"/>
      <c r="R105" s="151"/>
    </row>
    <row r="106" spans="3:19" x14ac:dyDescent="0.3">
      <c r="C106" s="54" t="s">
        <v>273</v>
      </c>
      <c r="D106" s="55" t="s">
        <v>255</v>
      </c>
      <c r="F106" s="48" t="s">
        <v>338</v>
      </c>
      <c r="H106" s="46" t="s">
        <v>104</v>
      </c>
    </row>
    <row r="107" spans="3:19" x14ac:dyDescent="0.3">
      <c r="C107" s="56" t="s">
        <v>78</v>
      </c>
      <c r="D107" s="18" t="s">
        <v>73</v>
      </c>
      <c r="F107" s="47"/>
      <c r="H107" s="49"/>
      <c r="K107" s="30" t="s">
        <v>98</v>
      </c>
      <c r="L107" s="44"/>
      <c r="M107" s="44"/>
      <c r="N107" s="44"/>
      <c r="O107" s="44"/>
      <c r="P107" s="44"/>
      <c r="Q107" s="44"/>
      <c r="R107" s="31"/>
    </row>
    <row r="108" spans="3:19" x14ac:dyDescent="0.3">
      <c r="C108" s="56" t="s">
        <v>81</v>
      </c>
      <c r="D108" s="18" t="s">
        <v>74</v>
      </c>
      <c r="K108" t="s">
        <v>90</v>
      </c>
      <c r="L108" t="s">
        <v>1</v>
      </c>
      <c r="N108" s="50" t="s">
        <v>92</v>
      </c>
      <c r="P108" s="50" t="s">
        <v>91</v>
      </c>
      <c r="R108" s="50" t="s">
        <v>6</v>
      </c>
    </row>
    <row r="109" spans="3:19" x14ac:dyDescent="0.3">
      <c r="C109" s="18"/>
      <c r="D109" s="57"/>
      <c r="K109" s="34"/>
      <c r="L109" s="43" t="s">
        <v>73</v>
      </c>
      <c r="N109" s="51"/>
      <c r="P109" s="51"/>
      <c r="R109" s="51"/>
    </row>
    <row r="110" spans="3:19" x14ac:dyDescent="0.3">
      <c r="C110" s="152" t="s">
        <v>136</v>
      </c>
      <c r="D110" s="153"/>
    </row>
    <row r="111" spans="3:19" x14ac:dyDescent="0.3">
      <c r="C111" s="21" t="s">
        <v>137</v>
      </c>
      <c r="D111" s="22" t="s">
        <v>138</v>
      </c>
      <c r="K111" s="30" t="s">
        <v>93</v>
      </c>
      <c r="L111" s="44"/>
      <c r="M111" s="44"/>
      <c r="N111" s="44"/>
      <c r="O111" s="44"/>
      <c r="P111" s="44"/>
      <c r="Q111" s="44"/>
      <c r="R111" s="31"/>
    </row>
    <row r="112" spans="3:19" x14ac:dyDescent="0.3">
      <c r="C112" s="32"/>
      <c r="D112" s="33"/>
      <c r="K112" t="s">
        <v>90</v>
      </c>
      <c r="L112" t="s">
        <v>1</v>
      </c>
      <c r="N112" s="50" t="s">
        <v>92</v>
      </c>
      <c r="P112" s="50" t="s">
        <v>91</v>
      </c>
      <c r="R112" s="50" t="s">
        <v>6</v>
      </c>
    </row>
    <row r="113" spans="3:19" x14ac:dyDescent="0.3">
      <c r="C113" s="18"/>
      <c r="D113" s="57"/>
      <c r="K113" s="34"/>
      <c r="L113" s="43" t="s">
        <v>73</v>
      </c>
      <c r="N113" s="51"/>
      <c r="P113" s="51"/>
      <c r="R113" s="51"/>
    </row>
    <row r="118" spans="3:19" x14ac:dyDescent="0.3">
      <c r="C118" s="35" t="s">
        <v>68</v>
      </c>
      <c r="D118" s="36"/>
    </row>
    <row r="119" spans="3:19" x14ac:dyDescent="0.3">
      <c r="C119" t="s">
        <v>273</v>
      </c>
      <c r="D119" s="1" t="s">
        <v>255</v>
      </c>
      <c r="F119" s="37" t="s">
        <v>322</v>
      </c>
      <c r="H119" s="37" t="s">
        <v>303</v>
      </c>
    </row>
    <row r="120" spans="3:19" x14ac:dyDescent="0.3">
      <c r="C120" s="56"/>
      <c r="D120" s="18" t="s">
        <v>73</v>
      </c>
      <c r="F120" s="38"/>
      <c r="H120" s="38"/>
      <c r="N120" s="39" t="s">
        <v>97</v>
      </c>
      <c r="O120" s="7"/>
      <c r="P120" s="7"/>
      <c r="Q120" s="7"/>
      <c r="R120" s="7"/>
      <c r="S120" s="31"/>
    </row>
    <row r="121" spans="3:19" ht="15" thickBot="1" x14ac:dyDescent="0.35">
      <c r="C121" s="56"/>
      <c r="D121" s="18" t="s">
        <v>74</v>
      </c>
      <c r="K121" s="35" t="s">
        <v>68</v>
      </c>
      <c r="L121" s="36"/>
      <c r="N121" s="148" t="s">
        <v>100</v>
      </c>
      <c r="O121" s="149"/>
      <c r="P121" s="149"/>
      <c r="Q121" s="149"/>
      <c r="R121" s="149"/>
      <c r="S121" s="149"/>
    </row>
    <row r="122" spans="3:19" x14ac:dyDescent="0.3">
      <c r="K122" t="s">
        <v>242</v>
      </c>
      <c r="L122" t="s">
        <v>1</v>
      </c>
      <c r="N122" s="145" t="s">
        <v>103</v>
      </c>
      <c r="O122" s="146" t="s">
        <v>104</v>
      </c>
      <c r="P122" s="146" t="s">
        <v>262</v>
      </c>
      <c r="R122" t="s">
        <v>323</v>
      </c>
      <c r="S122" t="s">
        <v>262</v>
      </c>
    </row>
    <row r="123" spans="3:19" x14ac:dyDescent="0.3">
      <c r="C123" s="52" t="s">
        <v>76</v>
      </c>
      <c r="D123" s="53"/>
      <c r="E123" s="53"/>
      <c r="F123" s="42"/>
      <c r="G123" s="42"/>
      <c r="H123" s="42"/>
      <c r="K123" s="34"/>
      <c r="L123" s="43" t="s">
        <v>73</v>
      </c>
      <c r="N123" s="58"/>
      <c r="O123" s="17"/>
      <c r="P123" t="str" cm="1">
        <f t="array" aca="1" ref="P123" ca="1">_xlfn.XLOOKUP($S123,INDIRECT($R123),INDIRECT($R123&amp;"_Platino"),"No Existe")</f>
        <v>\kelvin</v>
      </c>
      <c r="R123" t="s">
        <v>130</v>
      </c>
      <c r="S123" t="s">
        <v>31</v>
      </c>
    </row>
    <row r="124" spans="3:19" x14ac:dyDescent="0.3">
      <c r="C124" s="30" t="s">
        <v>77</v>
      </c>
      <c r="D124" s="44"/>
      <c r="E124" s="44"/>
      <c r="F124" s="44"/>
      <c r="G124" s="44"/>
      <c r="H124" s="31"/>
      <c r="K124" s="34"/>
      <c r="L124" s="43" t="s">
        <v>74</v>
      </c>
      <c r="N124" s="59"/>
      <c r="O124" s="17"/>
      <c r="P124" t="str" cm="1">
        <f t="array" aca="1" ref="P124" ca="1">_xlfn.XLOOKUP($S124,INDIRECT($R124),INDIRECT($R124&amp;"_Platino"),"No Existe")</f>
        <v>\degreeCelsius</v>
      </c>
      <c r="R124" t="s">
        <v>4</v>
      </c>
      <c r="S124" t="s">
        <v>328</v>
      </c>
    </row>
    <row r="125" spans="3:19" x14ac:dyDescent="0.3">
      <c r="C125" s="54" t="s">
        <v>273</v>
      </c>
      <c r="D125" s="55" t="s">
        <v>255</v>
      </c>
      <c r="F125" s="45" t="s">
        <v>337</v>
      </c>
      <c r="H125" s="46" t="s">
        <v>104</v>
      </c>
    </row>
    <row r="126" spans="3:19" x14ac:dyDescent="0.3">
      <c r="C126" s="56" t="s">
        <v>79</v>
      </c>
      <c r="D126" s="18" t="s">
        <v>73</v>
      </c>
      <c r="F126" s="47"/>
      <c r="H126" s="47"/>
    </row>
    <row r="127" spans="3:19" x14ac:dyDescent="0.3">
      <c r="C127" s="56" t="s">
        <v>80</v>
      </c>
      <c r="D127" s="18" t="s">
        <v>74</v>
      </c>
    </row>
    <row r="129" spans="3:18" x14ac:dyDescent="0.3">
      <c r="C129" s="30" t="s">
        <v>78</v>
      </c>
      <c r="D129" s="44"/>
      <c r="E129" s="44"/>
      <c r="F129" s="44"/>
      <c r="G129" s="44"/>
      <c r="H129" s="31"/>
      <c r="K129" s="150" t="s">
        <v>94</v>
      </c>
      <c r="L129" s="151"/>
      <c r="M129" s="151"/>
      <c r="N129" s="151"/>
      <c r="O129" s="151"/>
      <c r="P129" s="151"/>
      <c r="Q129" s="151"/>
      <c r="R129" s="151"/>
    </row>
    <row r="130" spans="3:18" x14ac:dyDescent="0.3">
      <c r="C130" s="54" t="s">
        <v>273</v>
      </c>
      <c r="D130" s="55" t="s">
        <v>255</v>
      </c>
      <c r="F130" s="48" t="s">
        <v>338</v>
      </c>
      <c r="H130" s="46" t="s">
        <v>104</v>
      </c>
    </row>
    <row r="131" spans="3:18" x14ac:dyDescent="0.3">
      <c r="C131" s="56" t="s">
        <v>78</v>
      </c>
      <c r="D131" s="18" t="s">
        <v>73</v>
      </c>
      <c r="F131" s="47"/>
      <c r="H131" s="49"/>
      <c r="K131" s="30" t="s">
        <v>98</v>
      </c>
      <c r="L131" s="44"/>
      <c r="M131" s="44"/>
      <c r="N131" s="44"/>
      <c r="O131" s="44"/>
      <c r="P131" s="44"/>
      <c r="Q131" s="44"/>
      <c r="R131" s="31"/>
    </row>
    <row r="132" spans="3:18" x14ac:dyDescent="0.3">
      <c r="C132" s="56" t="s">
        <v>81</v>
      </c>
      <c r="D132" s="18" t="s">
        <v>74</v>
      </c>
      <c r="K132" t="s">
        <v>90</v>
      </c>
      <c r="L132" t="s">
        <v>1</v>
      </c>
      <c r="N132" s="50" t="s">
        <v>92</v>
      </c>
      <c r="P132" s="50" t="s">
        <v>91</v>
      </c>
      <c r="R132" s="50" t="s">
        <v>6</v>
      </c>
    </row>
    <row r="133" spans="3:18" x14ac:dyDescent="0.3">
      <c r="C133" s="18"/>
      <c r="D133" s="57"/>
      <c r="K133" s="34"/>
      <c r="L133" s="43" t="s">
        <v>73</v>
      </c>
      <c r="N133" s="51"/>
      <c r="P133" s="51"/>
      <c r="R133" s="51"/>
    </row>
    <row r="134" spans="3:18" x14ac:dyDescent="0.3">
      <c r="C134" s="152" t="s">
        <v>136</v>
      </c>
      <c r="D134" s="153"/>
    </row>
    <row r="135" spans="3:18" x14ac:dyDescent="0.3">
      <c r="C135" s="21" t="s">
        <v>137</v>
      </c>
      <c r="D135" s="22" t="s">
        <v>138</v>
      </c>
      <c r="K135" s="30" t="s">
        <v>93</v>
      </c>
      <c r="L135" s="44"/>
      <c r="M135" s="44"/>
      <c r="N135" s="44"/>
      <c r="O135" s="44"/>
      <c r="P135" s="44"/>
      <c r="Q135" s="44"/>
      <c r="R135" s="31"/>
    </row>
    <row r="136" spans="3:18" x14ac:dyDescent="0.3">
      <c r="C136" s="32"/>
      <c r="D136" s="33"/>
      <c r="K136" t="s">
        <v>90</v>
      </c>
      <c r="L136" t="s">
        <v>1</v>
      </c>
      <c r="N136" s="50" t="s">
        <v>92</v>
      </c>
      <c r="P136" s="50" t="s">
        <v>91</v>
      </c>
      <c r="R136" s="50" t="s">
        <v>6</v>
      </c>
    </row>
    <row r="137" spans="3:18" x14ac:dyDescent="0.3">
      <c r="C137" s="18"/>
      <c r="D137" s="57"/>
      <c r="K137" s="34"/>
      <c r="L137" s="43" t="s">
        <v>73</v>
      </c>
      <c r="N137" s="51"/>
      <c r="P137" s="51"/>
      <c r="R137" s="51"/>
    </row>
    <row r="145" spans="3:19" x14ac:dyDescent="0.3">
      <c r="C145" s="35" t="s">
        <v>68</v>
      </c>
      <c r="D145" s="36"/>
    </row>
    <row r="146" spans="3:19" x14ac:dyDescent="0.3">
      <c r="C146" t="s">
        <v>273</v>
      </c>
      <c r="D146" s="1" t="s">
        <v>255</v>
      </c>
      <c r="F146" s="37" t="s">
        <v>322</v>
      </c>
      <c r="H146" s="37" t="s">
        <v>303</v>
      </c>
    </row>
    <row r="147" spans="3:19" x14ac:dyDescent="0.3">
      <c r="C147" s="56"/>
      <c r="D147" s="18" t="s">
        <v>73</v>
      </c>
      <c r="F147" s="38"/>
      <c r="H147" s="38"/>
      <c r="N147" s="39" t="s">
        <v>97</v>
      </c>
      <c r="O147" s="7"/>
      <c r="P147" s="7"/>
      <c r="Q147" s="7"/>
      <c r="R147" s="7"/>
      <c r="S147" s="31"/>
    </row>
    <row r="148" spans="3:19" ht="15" thickBot="1" x14ac:dyDescent="0.35">
      <c r="C148" s="56"/>
      <c r="D148" s="18" t="s">
        <v>74</v>
      </c>
      <c r="K148" s="35" t="s">
        <v>68</v>
      </c>
      <c r="L148" s="36"/>
      <c r="N148" s="148" t="s">
        <v>100</v>
      </c>
      <c r="O148" s="149"/>
      <c r="P148" s="149"/>
      <c r="Q148" s="149"/>
      <c r="R148" s="149"/>
      <c r="S148" s="149"/>
    </row>
    <row r="149" spans="3:19" x14ac:dyDescent="0.3">
      <c r="K149" t="s">
        <v>242</v>
      </c>
      <c r="L149" t="s">
        <v>1</v>
      </c>
      <c r="N149" s="145" t="s">
        <v>103</v>
      </c>
      <c r="O149" s="146" t="s">
        <v>104</v>
      </c>
      <c r="P149" s="146" t="s">
        <v>262</v>
      </c>
      <c r="R149" t="s">
        <v>323</v>
      </c>
      <c r="S149" t="s">
        <v>262</v>
      </c>
    </row>
    <row r="150" spans="3:19" x14ac:dyDescent="0.3">
      <c r="C150" s="52" t="s">
        <v>76</v>
      </c>
      <c r="D150" s="53"/>
      <c r="E150" s="53"/>
      <c r="F150" s="42"/>
      <c r="G150" s="42"/>
      <c r="H150" s="42"/>
      <c r="K150" s="34"/>
      <c r="L150" s="43" t="s">
        <v>73</v>
      </c>
      <c r="N150" s="58"/>
      <c r="O150" s="17"/>
      <c r="P150" t="str" cm="1">
        <f t="array" aca="1" ref="P150" ca="1">_xlfn.XLOOKUP($S150,INDIRECT($R150),INDIRECT($R150&amp;"_Platino"),"No Existe")</f>
        <v>\kelvin</v>
      </c>
      <c r="R150" t="s">
        <v>130</v>
      </c>
      <c r="S150" t="s">
        <v>31</v>
      </c>
    </row>
    <row r="151" spans="3:19" x14ac:dyDescent="0.3">
      <c r="C151" s="30" t="s">
        <v>77</v>
      </c>
      <c r="D151" s="44"/>
      <c r="E151" s="44"/>
      <c r="F151" s="44"/>
      <c r="G151" s="44"/>
      <c r="H151" s="31"/>
      <c r="K151" s="34"/>
      <c r="L151" s="43" t="s">
        <v>74</v>
      </c>
      <c r="N151" s="59"/>
      <c r="O151" s="17"/>
      <c r="P151" t="str" cm="1">
        <f t="array" aca="1" ref="P151" ca="1">_xlfn.XLOOKUP($S151,INDIRECT($R151),INDIRECT($R151&amp;"_Platino"),"No Existe")</f>
        <v>\degreeCelsius</v>
      </c>
      <c r="R151" t="s">
        <v>4</v>
      </c>
      <c r="S151" t="s">
        <v>328</v>
      </c>
    </row>
    <row r="152" spans="3:19" x14ac:dyDescent="0.3">
      <c r="C152" s="54" t="s">
        <v>273</v>
      </c>
      <c r="D152" s="55" t="s">
        <v>255</v>
      </c>
      <c r="F152" s="45" t="s">
        <v>337</v>
      </c>
      <c r="H152" s="46" t="s">
        <v>104</v>
      </c>
    </row>
    <row r="153" spans="3:19" x14ac:dyDescent="0.3">
      <c r="C153" s="56" t="s">
        <v>79</v>
      </c>
      <c r="D153" s="18" t="s">
        <v>73</v>
      </c>
      <c r="F153" s="47"/>
      <c r="H153" s="47"/>
    </row>
    <row r="154" spans="3:19" x14ac:dyDescent="0.3">
      <c r="C154" s="56" t="s">
        <v>80</v>
      </c>
      <c r="D154" s="18" t="s">
        <v>74</v>
      </c>
    </row>
    <row r="156" spans="3:19" x14ac:dyDescent="0.3">
      <c r="C156" s="30" t="s">
        <v>78</v>
      </c>
      <c r="D156" s="44"/>
      <c r="E156" s="44"/>
      <c r="F156" s="44"/>
      <c r="G156" s="44"/>
      <c r="H156" s="31"/>
      <c r="K156" s="150" t="s">
        <v>94</v>
      </c>
      <c r="L156" s="151"/>
      <c r="M156" s="151"/>
      <c r="N156" s="151"/>
      <c r="O156" s="151"/>
      <c r="P156" s="151"/>
      <c r="Q156" s="151"/>
      <c r="R156" s="151"/>
    </row>
    <row r="157" spans="3:19" x14ac:dyDescent="0.3">
      <c r="C157" s="54" t="s">
        <v>273</v>
      </c>
      <c r="D157" s="55" t="s">
        <v>255</v>
      </c>
      <c r="F157" s="48" t="s">
        <v>338</v>
      </c>
      <c r="H157" s="46" t="s">
        <v>104</v>
      </c>
    </row>
    <row r="158" spans="3:19" x14ac:dyDescent="0.3">
      <c r="C158" s="56" t="s">
        <v>78</v>
      </c>
      <c r="D158" s="18" t="s">
        <v>73</v>
      </c>
      <c r="F158" s="47"/>
      <c r="H158" s="49"/>
      <c r="K158" s="30" t="s">
        <v>98</v>
      </c>
      <c r="L158" s="44"/>
      <c r="M158" s="44"/>
      <c r="N158" s="44"/>
      <c r="O158" s="44"/>
      <c r="P158" s="44"/>
      <c r="Q158" s="44"/>
      <c r="R158" s="31"/>
    </row>
    <row r="159" spans="3:19" x14ac:dyDescent="0.3">
      <c r="C159" s="56" t="s">
        <v>81</v>
      </c>
      <c r="D159" s="18" t="s">
        <v>74</v>
      </c>
      <c r="K159" t="s">
        <v>90</v>
      </c>
      <c r="L159" t="s">
        <v>1</v>
      </c>
      <c r="N159" s="50" t="s">
        <v>92</v>
      </c>
      <c r="P159" s="50" t="s">
        <v>91</v>
      </c>
      <c r="R159" s="50" t="s">
        <v>6</v>
      </c>
    </row>
    <row r="160" spans="3:19" x14ac:dyDescent="0.3">
      <c r="C160" s="18"/>
      <c r="D160" s="57"/>
      <c r="K160" s="34"/>
      <c r="L160" s="43" t="s">
        <v>73</v>
      </c>
      <c r="N160" s="51"/>
      <c r="P160" s="51"/>
      <c r="R160" s="51"/>
    </row>
    <row r="161" spans="3:18" x14ac:dyDescent="0.3">
      <c r="C161" s="152" t="s">
        <v>136</v>
      </c>
      <c r="D161" s="153"/>
    </row>
    <row r="162" spans="3:18" x14ac:dyDescent="0.3">
      <c r="C162" s="21" t="s">
        <v>137</v>
      </c>
      <c r="D162" s="22" t="s">
        <v>138</v>
      </c>
      <c r="K162" s="30" t="s">
        <v>93</v>
      </c>
      <c r="L162" s="44"/>
      <c r="M162" s="44"/>
      <c r="N162" s="44"/>
      <c r="O162" s="44"/>
      <c r="P162" s="44"/>
      <c r="Q162" s="44"/>
      <c r="R162" s="31"/>
    </row>
    <row r="163" spans="3:18" x14ac:dyDescent="0.3">
      <c r="C163" s="32"/>
      <c r="D163" s="33"/>
      <c r="K163" t="s">
        <v>90</v>
      </c>
      <c r="L163" t="s">
        <v>1</v>
      </c>
      <c r="N163" s="50" t="s">
        <v>92</v>
      </c>
      <c r="P163" s="50" t="s">
        <v>91</v>
      </c>
      <c r="R163" s="50" t="s">
        <v>6</v>
      </c>
    </row>
    <row r="164" spans="3:18" x14ac:dyDescent="0.3">
      <c r="C164" s="18"/>
      <c r="D164" s="57"/>
      <c r="K164" s="34"/>
      <c r="L164" s="43" t="s">
        <v>73</v>
      </c>
      <c r="N164" s="51"/>
      <c r="P164" s="51"/>
      <c r="R164" s="51"/>
    </row>
  </sheetData>
  <mergeCells count="16">
    <mergeCell ref="C16:D16"/>
    <mergeCell ref="K16:L16"/>
    <mergeCell ref="C35:D35"/>
    <mergeCell ref="K82:R82"/>
    <mergeCell ref="N74:S74"/>
    <mergeCell ref="K34:R34"/>
    <mergeCell ref="N148:S148"/>
    <mergeCell ref="K156:R156"/>
    <mergeCell ref="C161:D161"/>
    <mergeCell ref="C87:D87"/>
    <mergeCell ref="K105:R105"/>
    <mergeCell ref="K129:R129"/>
    <mergeCell ref="C134:D134"/>
    <mergeCell ref="C110:D110"/>
    <mergeCell ref="N97:S97"/>
    <mergeCell ref="N121:S121"/>
  </mergeCells>
  <phoneticPr fontId="28" type="noConversion"/>
  <dataValidations count="4">
    <dataValidation type="list" allowBlank="1" showInputMessage="1" showErrorMessage="1" sqref="R28:R29 R150:R151 R99:R100 R76:R77 R123:R124" xr:uid="{00000000-0002-0000-0100-000001000000}">
      <formula1>TipoUnidad</formula1>
    </dataValidation>
    <dataValidation type="list" allowBlank="1" showInputMessage="1" showErrorMessage="1" sqref="S28:S29 S150:S151 S76:S77 S99:S100 S123:S124" xr:uid="{8B438223-C8F7-4DB6-8FE5-683104046473}">
      <formula1>INDIRECT($R28)</formula1>
    </dataValidation>
    <dataValidation type="list" allowBlank="1" showInputMessage="1" showErrorMessage="1" sqref="E32" xr:uid="{DDE288D2-0264-41C6-8FD6-ABB67C571D6F}">
      <formula1>ISSUER</formula1>
    </dataValidation>
    <dataValidation type="list" errorStyle="information" allowBlank="1" showInputMessage="1" showErrorMessage="1" errorTitle="Issuer" error="Select from the list who set the identification" promptTitle="Issuer" prompt="Who set the serial number?" sqref="E31 F79 F84" xr:uid="{02BFCB54-8C0A-494F-B153-459486A41C16}">
      <formula1>ISSUER</formula1>
    </dataValidation>
  </dataValidations>
  <pageMargins left="0.7" right="0.7" top="0.75" bottom="0.75" header="0.3" footer="0.3"/>
  <pageSetup paperSize="9" orientation="portrait" horizontalDpi="1200" verticalDpi="1200" r:id="rId1"/>
  <drawing r:id="rId2"/>
  <tableParts count="44">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 r:id="rId22"/>
    <tablePart r:id="rId23"/>
    <tablePart r:id="rId24"/>
    <tablePart r:id="rId25"/>
    <tablePart r:id="rId26"/>
    <tablePart r:id="rId27"/>
    <tablePart r:id="rId28"/>
    <tablePart r:id="rId29"/>
    <tablePart r:id="rId30"/>
    <tablePart r:id="rId31"/>
    <tablePart r:id="rId32"/>
    <tablePart r:id="rId33"/>
    <tablePart r:id="rId34"/>
    <tablePart r:id="rId35"/>
    <tablePart r:id="rId36"/>
    <tablePart r:id="rId37"/>
    <tablePart r:id="rId38"/>
    <tablePart r:id="rId39"/>
    <tablePart r:id="rId40"/>
    <tablePart r:id="rId41"/>
    <tablePart r:id="rId42"/>
    <tablePart r:id="rId43"/>
    <tablePart r:id="rId44"/>
    <tablePart r:id="rId45"/>
    <tablePart r:id="rId46"/>
  </tableParts>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Hoja3">
    <tabColor rgb="FF00B050"/>
  </sheetPr>
  <dimension ref="B3:P154"/>
  <sheetViews>
    <sheetView showGridLines="0" zoomScaleNormal="100" workbookViewId="0">
      <selection activeCell="L131" sqref="L131"/>
    </sheetView>
  </sheetViews>
  <sheetFormatPr defaultColWidth="8.77734375" defaultRowHeight="14.4" x14ac:dyDescent="0.3"/>
  <cols>
    <col min="1" max="1" width="2.6640625" customWidth="1"/>
    <col min="2" max="2" width="5.33203125" customWidth="1"/>
    <col min="3" max="3" width="12.6640625" bestFit="1" customWidth="1"/>
    <col min="4" max="4" width="50.6640625" customWidth="1"/>
    <col min="5" max="5" width="19.6640625" bestFit="1" customWidth="1"/>
    <col min="6" max="6" width="10.109375" bestFit="1" customWidth="1"/>
    <col min="7" max="7" width="14.6640625" bestFit="1" customWidth="1"/>
    <col min="8" max="8" width="19.33203125" bestFit="1" customWidth="1"/>
    <col min="9" max="9" width="8.33203125" bestFit="1" customWidth="1"/>
    <col min="10" max="10" width="28.21875" bestFit="1" customWidth="1"/>
    <col min="11" max="11" width="12.6640625" bestFit="1" customWidth="1"/>
    <col min="12" max="12" width="14.33203125" bestFit="1" customWidth="1"/>
    <col min="13" max="13" width="23.33203125" bestFit="1" customWidth="1"/>
    <col min="14" max="14" width="15.109375" customWidth="1"/>
    <col min="15" max="15" width="14.109375" customWidth="1"/>
    <col min="16" max="16" width="9.44140625" bestFit="1" customWidth="1"/>
    <col min="17" max="17" width="12.109375" bestFit="1" customWidth="1"/>
    <col min="18" max="18" width="8.6640625" bestFit="1" customWidth="1"/>
    <col min="19" max="19" width="13.33203125" bestFit="1" customWidth="1"/>
    <col min="20" max="20" width="21.109375" bestFit="1" customWidth="1"/>
  </cols>
  <sheetData>
    <row r="3" spans="2:16" ht="15" customHeight="1" x14ac:dyDescent="0.3"/>
    <row r="10" spans="2:16" x14ac:dyDescent="0.3">
      <c r="B10" s="6"/>
      <c r="C10" s="6"/>
      <c r="D10" s="6"/>
      <c r="E10" s="6"/>
      <c r="F10" s="6"/>
      <c r="G10" s="6"/>
      <c r="H10" s="6"/>
      <c r="I10" s="6"/>
      <c r="J10" s="6"/>
      <c r="K10" s="6"/>
      <c r="L10" s="6"/>
      <c r="M10" s="6"/>
      <c r="N10" s="6"/>
      <c r="O10" s="6"/>
      <c r="P10" s="6"/>
    </row>
    <row r="12" spans="2:16" x14ac:dyDescent="0.3">
      <c r="G12" s="61" t="s">
        <v>95</v>
      </c>
    </row>
    <row r="13" spans="2:16" x14ac:dyDescent="0.3">
      <c r="G13" s="62" t="s">
        <v>96</v>
      </c>
      <c r="H13" s="7"/>
      <c r="I13" s="7"/>
      <c r="J13" s="7"/>
      <c r="K13" s="7"/>
      <c r="L13" s="7"/>
      <c r="M13" s="31"/>
    </row>
    <row r="14" spans="2:16" x14ac:dyDescent="0.3">
      <c r="D14" s="35" t="s">
        <v>68</v>
      </c>
      <c r="E14" s="121" t="s">
        <v>183</v>
      </c>
      <c r="G14" s="133" t="s">
        <v>99</v>
      </c>
      <c r="H14" s="134"/>
      <c r="I14" s="134"/>
      <c r="J14" s="134"/>
      <c r="K14" s="134"/>
      <c r="L14" s="134"/>
      <c r="M14" s="134"/>
    </row>
    <row r="15" spans="2:16" x14ac:dyDescent="0.3">
      <c r="D15" t="s">
        <v>273</v>
      </c>
      <c r="E15" s="1" t="s">
        <v>255</v>
      </c>
      <c r="G15" s="35" t="s">
        <v>68</v>
      </c>
      <c r="H15" s="121" t="s">
        <v>259</v>
      </c>
    </row>
    <row r="16" spans="2:16" x14ac:dyDescent="0.3">
      <c r="D16" s="94" t="s">
        <v>326</v>
      </c>
      <c r="E16" s="86" t="s">
        <v>306</v>
      </c>
      <c r="G16" s="125" t="s">
        <v>273</v>
      </c>
      <c r="H16" s="126" t="s">
        <v>327</v>
      </c>
      <c r="I16" s="126" t="s">
        <v>6</v>
      </c>
      <c r="J16" s="126" t="s">
        <v>324</v>
      </c>
      <c r="K16" s="126" t="s">
        <v>329</v>
      </c>
      <c r="L16" s="126" t="s">
        <v>264</v>
      </c>
      <c r="M16" s="127" t="s">
        <v>265</v>
      </c>
    </row>
    <row r="17" spans="4:13" x14ac:dyDescent="0.3">
      <c r="D17" s="94" t="s">
        <v>313</v>
      </c>
      <c r="E17" s="86" t="s">
        <v>74</v>
      </c>
      <c r="G17" s="128"/>
      <c r="H17" s="129"/>
      <c r="I17" s="130">
        <v>8010</v>
      </c>
      <c r="J17" s="131" t="str" cm="1">
        <f t="array" aca="1" ref="J17" ca="1">_xlfn.XLOOKUP($K21,INDIRECT($J21),INDIRECT($J21&amp;"_Platino"),"No Existe")</f>
        <v>\kilogram\metre\tothe(-3)</v>
      </c>
      <c r="K17" s="130">
        <v>30</v>
      </c>
      <c r="L17" s="130">
        <v>2</v>
      </c>
      <c r="M17" s="132">
        <v>0.95</v>
      </c>
    </row>
    <row r="18" spans="4:13" x14ac:dyDescent="0.3">
      <c r="G18" s="123"/>
      <c r="H18" s="43"/>
      <c r="I18" s="34"/>
      <c r="J18" s="81"/>
      <c r="K18" s="34"/>
      <c r="L18" s="34"/>
      <c r="M18" s="34"/>
    </row>
    <row r="19" spans="4:13" x14ac:dyDescent="0.3">
      <c r="D19" t="s">
        <v>242</v>
      </c>
      <c r="E19" s="1" t="s">
        <v>255</v>
      </c>
    </row>
    <row r="20" spans="4:13" x14ac:dyDescent="0.3">
      <c r="D20" s="34"/>
      <c r="E20" s="18" t="s">
        <v>73</v>
      </c>
      <c r="J20" t="s">
        <v>323</v>
      </c>
      <c r="K20" t="s">
        <v>262</v>
      </c>
    </row>
    <row r="21" spans="4:13" x14ac:dyDescent="0.3">
      <c r="D21" s="34"/>
      <c r="E21" s="18" t="s">
        <v>74</v>
      </c>
      <c r="J21" t="s">
        <v>131</v>
      </c>
      <c r="K21" t="s">
        <v>271</v>
      </c>
    </row>
    <row r="23" spans="4:13" x14ac:dyDescent="0.3">
      <c r="D23" s="37" t="s">
        <v>89</v>
      </c>
    </row>
    <row r="24" spans="4:13" x14ac:dyDescent="0.3">
      <c r="D24" s="38"/>
    </row>
    <row r="26" spans="4:13" x14ac:dyDescent="0.3">
      <c r="D26" s="150" t="s">
        <v>94</v>
      </c>
      <c r="E26" s="151"/>
      <c r="F26" s="151"/>
      <c r="G26" s="151"/>
      <c r="H26" s="151"/>
      <c r="I26" s="151"/>
      <c r="J26" s="151"/>
      <c r="K26" s="151"/>
    </row>
    <row r="28" spans="4:13" x14ac:dyDescent="0.3">
      <c r="D28" s="30" t="s">
        <v>98</v>
      </c>
      <c r="E28" s="44"/>
      <c r="F28" s="44"/>
      <c r="G28" s="44"/>
      <c r="H28" s="44"/>
      <c r="I28" s="44"/>
      <c r="J28" s="44"/>
      <c r="K28" s="31"/>
    </row>
    <row r="29" spans="4:13" x14ac:dyDescent="0.3">
      <c r="D29" t="s">
        <v>90</v>
      </c>
      <c r="E29" s="1" t="s">
        <v>255</v>
      </c>
      <c r="G29" s="50" t="s">
        <v>92</v>
      </c>
      <c r="I29" s="50" t="s">
        <v>91</v>
      </c>
      <c r="K29" s="50" t="s">
        <v>6</v>
      </c>
    </row>
    <row r="30" spans="4:13" x14ac:dyDescent="0.3">
      <c r="D30" s="16" t="s">
        <v>252</v>
      </c>
      <c r="E30" s="86" t="s">
        <v>74</v>
      </c>
      <c r="G30" s="122" t="s">
        <v>256</v>
      </c>
      <c r="I30" s="122" t="s">
        <v>258</v>
      </c>
      <c r="K30" s="122" t="s">
        <v>258</v>
      </c>
    </row>
    <row r="32" spans="4:13" x14ac:dyDescent="0.3">
      <c r="D32" s="30" t="s">
        <v>93</v>
      </c>
      <c r="E32" s="44"/>
      <c r="F32" s="44"/>
      <c r="G32" s="44"/>
      <c r="H32" s="44"/>
      <c r="I32" s="44"/>
      <c r="J32" s="44"/>
      <c r="K32" s="31"/>
    </row>
    <row r="33" spans="4:13" x14ac:dyDescent="0.3">
      <c r="D33" t="s">
        <v>90</v>
      </c>
      <c r="E33" s="1" t="s">
        <v>255</v>
      </c>
      <c r="G33" s="50" t="s">
        <v>92</v>
      </c>
      <c r="I33" s="50" t="s">
        <v>91</v>
      </c>
      <c r="K33" s="50" t="s">
        <v>6</v>
      </c>
    </row>
    <row r="34" spans="4:13" x14ac:dyDescent="0.3">
      <c r="E34" s="18" t="s">
        <v>73</v>
      </c>
      <c r="G34" s="51"/>
      <c r="I34" s="51"/>
      <c r="K34" s="51"/>
    </row>
    <row r="39" spans="4:13" x14ac:dyDescent="0.3">
      <c r="G39" s="61" t="s">
        <v>95</v>
      </c>
    </row>
    <row r="40" spans="4:13" x14ac:dyDescent="0.3">
      <c r="G40" s="62" t="s">
        <v>96</v>
      </c>
      <c r="H40" s="7"/>
      <c r="I40" s="7"/>
      <c r="J40" s="7"/>
      <c r="K40" s="7"/>
      <c r="L40" s="7"/>
      <c r="M40" s="31"/>
    </row>
    <row r="41" spans="4:13" x14ac:dyDescent="0.3">
      <c r="D41" s="35" t="s">
        <v>68</v>
      </c>
      <c r="E41" s="121" t="s">
        <v>135</v>
      </c>
      <c r="G41" s="133" t="s">
        <v>99</v>
      </c>
      <c r="H41" s="134"/>
      <c r="I41" s="134"/>
      <c r="J41" s="134"/>
      <c r="K41" s="134"/>
      <c r="L41" s="134"/>
      <c r="M41" s="134"/>
    </row>
    <row r="42" spans="4:13" x14ac:dyDescent="0.3">
      <c r="D42" t="s">
        <v>273</v>
      </c>
      <c r="E42" s="1" t="s">
        <v>255</v>
      </c>
      <c r="G42" s="35" t="s">
        <v>68</v>
      </c>
      <c r="H42" s="121" t="s">
        <v>267</v>
      </c>
    </row>
    <row r="43" spans="4:13" x14ac:dyDescent="0.3">
      <c r="D43" s="94" t="s">
        <v>330</v>
      </c>
      <c r="E43" s="86" t="s">
        <v>306</v>
      </c>
      <c r="G43" s="125" t="s">
        <v>273</v>
      </c>
      <c r="H43" s="126" t="s">
        <v>327</v>
      </c>
      <c r="I43" s="126" t="s">
        <v>6</v>
      </c>
      <c r="J43" s="126" t="s">
        <v>324</v>
      </c>
      <c r="K43" s="126" t="s">
        <v>329</v>
      </c>
      <c r="L43" s="126" t="s">
        <v>264</v>
      </c>
      <c r="M43" s="127" t="s">
        <v>265</v>
      </c>
    </row>
    <row r="44" spans="4:13" x14ac:dyDescent="0.3">
      <c r="D44" s="94" t="s">
        <v>266</v>
      </c>
      <c r="E44" s="86" t="s">
        <v>74</v>
      </c>
      <c r="G44" s="128"/>
      <c r="H44" s="129"/>
      <c r="I44" s="130">
        <v>294.05</v>
      </c>
      <c r="J44" s="131" t="str" cm="1">
        <f t="array" aca="1" ref="J44" ca="1">_xlfn.XLOOKUP($K48,INDIRECT($J48),INDIRECT($J48&amp;"_Platino"),"No Existe")</f>
        <v>\kelvin</v>
      </c>
      <c r="K44" s="135">
        <v>0.5</v>
      </c>
      <c r="L44" s="130">
        <v>2</v>
      </c>
      <c r="M44" s="132">
        <v>0.95</v>
      </c>
    </row>
    <row r="45" spans="4:13" x14ac:dyDescent="0.3">
      <c r="G45" s="123"/>
      <c r="H45" s="43"/>
      <c r="I45" s="34"/>
      <c r="J45" s="81"/>
      <c r="K45" s="34"/>
      <c r="L45" s="34"/>
      <c r="M45" s="34"/>
    </row>
    <row r="46" spans="4:13" x14ac:dyDescent="0.3">
      <c r="D46" t="s">
        <v>242</v>
      </c>
      <c r="E46" s="1" t="s">
        <v>255</v>
      </c>
    </row>
    <row r="47" spans="4:13" x14ac:dyDescent="0.3">
      <c r="D47" s="34"/>
      <c r="E47" s="18" t="s">
        <v>73</v>
      </c>
      <c r="J47" t="s">
        <v>323</v>
      </c>
      <c r="K47" t="s">
        <v>262</v>
      </c>
    </row>
    <row r="48" spans="4:13" x14ac:dyDescent="0.3">
      <c r="D48" s="34"/>
      <c r="E48" s="18" t="s">
        <v>74</v>
      </c>
      <c r="J48" t="s">
        <v>130</v>
      </c>
      <c r="K48" t="s">
        <v>31</v>
      </c>
    </row>
    <row r="50" spans="4:11" x14ac:dyDescent="0.3">
      <c r="D50" s="37" t="s">
        <v>89</v>
      </c>
    </row>
    <row r="51" spans="4:11" x14ac:dyDescent="0.3">
      <c r="D51" s="38"/>
    </row>
    <row r="53" spans="4:11" x14ac:dyDescent="0.3">
      <c r="D53" s="150" t="s">
        <v>94</v>
      </c>
      <c r="E53" s="151"/>
      <c r="F53" s="151"/>
      <c r="G53" s="151"/>
      <c r="H53" s="151"/>
      <c r="I53" s="151"/>
      <c r="J53" s="151"/>
      <c r="K53" s="151"/>
    </row>
    <row r="55" spans="4:11" x14ac:dyDescent="0.3">
      <c r="D55" s="30" t="s">
        <v>98</v>
      </c>
      <c r="E55" s="44"/>
      <c r="F55" s="44"/>
      <c r="G55" s="44"/>
      <c r="H55" s="44"/>
      <c r="I55" s="44"/>
      <c r="J55" s="44"/>
      <c r="K55" s="31"/>
    </row>
    <row r="56" spans="4:11" x14ac:dyDescent="0.3">
      <c r="D56" t="s">
        <v>90</v>
      </c>
      <c r="E56" s="1" t="s">
        <v>255</v>
      </c>
      <c r="G56" s="50" t="s">
        <v>92</v>
      </c>
      <c r="I56" s="50" t="s">
        <v>91</v>
      </c>
      <c r="K56" s="50" t="s">
        <v>6</v>
      </c>
    </row>
    <row r="57" spans="4:11" x14ac:dyDescent="0.3">
      <c r="D57" s="16"/>
      <c r="E57" s="86"/>
      <c r="G57" s="122"/>
      <c r="I57" s="122"/>
      <c r="K57" s="122"/>
    </row>
    <row r="59" spans="4:11" x14ac:dyDescent="0.3">
      <c r="D59" s="30" t="s">
        <v>93</v>
      </c>
      <c r="E59" s="44"/>
      <c r="F59" s="44"/>
      <c r="G59" s="44"/>
      <c r="H59" s="44"/>
      <c r="I59" s="44"/>
      <c r="J59" s="44"/>
      <c r="K59" s="31"/>
    </row>
    <row r="60" spans="4:11" x14ac:dyDescent="0.3">
      <c r="D60" t="s">
        <v>90</v>
      </c>
      <c r="E60" s="1" t="s">
        <v>255</v>
      </c>
      <c r="G60" s="50" t="s">
        <v>92</v>
      </c>
      <c r="I60" s="50" t="s">
        <v>91</v>
      </c>
      <c r="K60" s="50" t="s">
        <v>6</v>
      </c>
    </row>
    <row r="61" spans="4:11" x14ac:dyDescent="0.3">
      <c r="E61" s="18" t="s">
        <v>73</v>
      </c>
      <c r="G61" s="51"/>
      <c r="I61" s="51"/>
      <c r="K61" s="51"/>
    </row>
    <row r="66" spans="4:13" x14ac:dyDescent="0.3">
      <c r="G66" s="61" t="s">
        <v>95</v>
      </c>
    </row>
    <row r="67" spans="4:13" x14ac:dyDescent="0.3">
      <c r="G67" s="62" t="s">
        <v>96</v>
      </c>
      <c r="H67" s="7"/>
      <c r="I67" s="7"/>
      <c r="J67" s="7"/>
      <c r="K67" s="7"/>
      <c r="L67" s="7"/>
      <c r="M67" s="31"/>
    </row>
    <row r="68" spans="4:13" x14ac:dyDescent="0.3">
      <c r="D68" s="35" t="s">
        <v>68</v>
      </c>
      <c r="E68" s="121" t="s">
        <v>169</v>
      </c>
      <c r="G68" s="133" t="s">
        <v>99</v>
      </c>
      <c r="H68" s="134"/>
      <c r="I68" s="134"/>
      <c r="J68" s="134"/>
      <c r="K68" s="134"/>
      <c r="L68" s="134"/>
      <c r="M68" s="134"/>
    </row>
    <row r="69" spans="4:13" x14ac:dyDescent="0.3">
      <c r="D69" t="s">
        <v>273</v>
      </c>
      <c r="E69" s="1" t="s">
        <v>255</v>
      </c>
      <c r="G69" s="35" t="s">
        <v>68</v>
      </c>
      <c r="H69" s="121" t="s">
        <v>267</v>
      </c>
    </row>
    <row r="70" spans="4:13" x14ac:dyDescent="0.3">
      <c r="D70" s="94" t="s">
        <v>331</v>
      </c>
      <c r="E70" s="86" t="s">
        <v>306</v>
      </c>
      <c r="G70" s="125" t="s">
        <v>273</v>
      </c>
      <c r="H70" s="126" t="s">
        <v>327</v>
      </c>
      <c r="I70" s="126" t="s">
        <v>6</v>
      </c>
      <c r="J70" s="126" t="s">
        <v>324</v>
      </c>
      <c r="K70" s="126" t="s">
        <v>329</v>
      </c>
      <c r="L70" s="126" t="s">
        <v>264</v>
      </c>
      <c r="M70" s="127" t="s">
        <v>265</v>
      </c>
    </row>
    <row r="71" spans="4:13" x14ac:dyDescent="0.3">
      <c r="D71" s="94" t="s">
        <v>268</v>
      </c>
      <c r="E71" s="86" t="s">
        <v>74</v>
      </c>
      <c r="G71" s="128"/>
      <c r="H71" s="129"/>
      <c r="I71" s="130">
        <v>1.1635</v>
      </c>
      <c r="J71" s="131" t="str" cm="1">
        <f t="array" aca="1" ref="J71" ca="1">_xlfn.XLOOKUP($K75,INDIRECT($J75),INDIRECT($J75&amp;"_Platino"),"No Existe")</f>
        <v>\kilogram\metre\tothe(-3)</v>
      </c>
      <c r="K71" s="130">
        <v>3.5000000000000001E-3</v>
      </c>
      <c r="L71" s="130">
        <v>2</v>
      </c>
      <c r="M71" s="132">
        <v>0.95</v>
      </c>
    </row>
    <row r="72" spans="4:13" x14ac:dyDescent="0.3">
      <c r="G72" s="123"/>
      <c r="H72" s="43"/>
      <c r="I72" s="34"/>
      <c r="J72" s="81"/>
      <c r="K72" s="34"/>
      <c r="L72" s="34"/>
      <c r="M72" s="34"/>
    </row>
    <row r="73" spans="4:13" x14ac:dyDescent="0.3">
      <c r="D73" t="s">
        <v>242</v>
      </c>
      <c r="E73" s="1" t="s">
        <v>255</v>
      </c>
    </row>
    <row r="74" spans="4:13" x14ac:dyDescent="0.3">
      <c r="D74" s="34"/>
      <c r="E74" s="18" t="s">
        <v>73</v>
      </c>
      <c r="J74" t="s">
        <v>323</v>
      </c>
      <c r="K74" t="s">
        <v>262</v>
      </c>
    </row>
    <row r="75" spans="4:13" x14ac:dyDescent="0.3">
      <c r="D75" s="34"/>
      <c r="E75" s="18" t="s">
        <v>74</v>
      </c>
      <c r="J75" t="s">
        <v>131</v>
      </c>
      <c r="K75" t="s">
        <v>271</v>
      </c>
    </row>
    <row r="77" spans="4:13" x14ac:dyDescent="0.3">
      <c r="D77" s="37" t="s">
        <v>89</v>
      </c>
    </row>
    <row r="78" spans="4:13" x14ac:dyDescent="0.3">
      <c r="D78" s="38"/>
    </row>
    <row r="80" spans="4:13" x14ac:dyDescent="0.3">
      <c r="D80" s="150" t="s">
        <v>94</v>
      </c>
      <c r="E80" s="151"/>
      <c r="F80" s="151"/>
      <c r="G80" s="151"/>
      <c r="H80" s="151"/>
      <c r="I80" s="151"/>
      <c r="J80" s="151"/>
      <c r="K80" s="151"/>
    </row>
    <row r="82" spans="4:13" x14ac:dyDescent="0.3">
      <c r="D82" s="30" t="s">
        <v>98</v>
      </c>
      <c r="E82" s="44"/>
      <c r="F82" s="44"/>
      <c r="G82" s="44"/>
      <c r="H82" s="44"/>
      <c r="I82" s="44"/>
      <c r="J82" s="44"/>
      <c r="K82" s="31"/>
    </row>
    <row r="83" spans="4:13" x14ac:dyDescent="0.3">
      <c r="D83" t="s">
        <v>90</v>
      </c>
      <c r="E83" s="1" t="s">
        <v>255</v>
      </c>
      <c r="G83" s="50" t="s">
        <v>92</v>
      </c>
      <c r="I83" s="50" t="s">
        <v>91</v>
      </c>
      <c r="K83" s="50" t="s">
        <v>6</v>
      </c>
    </row>
    <row r="84" spans="4:13" x14ac:dyDescent="0.3">
      <c r="D84" s="16"/>
      <c r="E84" s="86"/>
      <c r="G84" s="122"/>
      <c r="I84" s="122"/>
      <c r="K84" s="122"/>
    </row>
    <row r="86" spans="4:13" x14ac:dyDescent="0.3">
      <c r="D86" s="30" t="s">
        <v>93</v>
      </c>
      <c r="E86" s="44"/>
      <c r="F86" s="44"/>
      <c r="G86" s="44"/>
      <c r="H86" s="44"/>
      <c r="I86" s="44"/>
      <c r="J86" s="44"/>
      <c r="K86" s="31"/>
    </row>
    <row r="87" spans="4:13" x14ac:dyDescent="0.3">
      <c r="D87" t="s">
        <v>90</v>
      </c>
      <c r="E87" s="1" t="s">
        <v>255</v>
      </c>
      <c r="G87" s="50" t="s">
        <v>92</v>
      </c>
      <c r="I87" s="50" t="s">
        <v>91</v>
      </c>
      <c r="K87" s="50" t="s">
        <v>6</v>
      </c>
    </row>
    <row r="88" spans="4:13" x14ac:dyDescent="0.3">
      <c r="E88" s="18" t="s">
        <v>73</v>
      </c>
      <c r="G88" s="51"/>
      <c r="I88" s="51"/>
      <c r="K88" s="51"/>
    </row>
    <row r="93" spans="4:13" x14ac:dyDescent="0.3">
      <c r="G93" s="61" t="s">
        <v>95</v>
      </c>
    </row>
    <row r="94" spans="4:13" x14ac:dyDescent="0.3">
      <c r="G94" s="62" t="s">
        <v>96</v>
      </c>
      <c r="H94" s="7"/>
      <c r="I94" s="7"/>
      <c r="J94" s="7"/>
      <c r="K94" s="7"/>
      <c r="L94" s="7"/>
      <c r="M94" s="31"/>
    </row>
    <row r="95" spans="4:13" x14ac:dyDescent="0.3">
      <c r="D95" s="35" t="s">
        <v>68</v>
      </c>
      <c r="E95" s="114" t="s">
        <v>269</v>
      </c>
      <c r="G95" s="133" t="s">
        <v>99</v>
      </c>
      <c r="H95" s="134"/>
      <c r="I95" s="134"/>
      <c r="J95" s="134"/>
      <c r="K95" s="134"/>
      <c r="L95" s="134"/>
      <c r="M95" s="134"/>
    </row>
    <row r="96" spans="4:13" x14ac:dyDescent="0.3">
      <c r="D96" t="s">
        <v>273</v>
      </c>
      <c r="E96" s="1" t="s">
        <v>255</v>
      </c>
      <c r="G96" s="35" t="s">
        <v>68</v>
      </c>
      <c r="H96" s="121" t="s">
        <v>267</v>
      </c>
      <c r="J96" s="81"/>
    </row>
    <row r="97" spans="4:13" x14ac:dyDescent="0.3">
      <c r="D97" s="94" t="s">
        <v>332</v>
      </c>
      <c r="E97" s="86" t="s">
        <v>306</v>
      </c>
      <c r="G97" s="125" t="s">
        <v>273</v>
      </c>
      <c r="H97" s="126" t="s">
        <v>327</v>
      </c>
      <c r="I97" s="126" t="s">
        <v>6</v>
      </c>
      <c r="J97" s="126" t="s">
        <v>324</v>
      </c>
      <c r="K97" s="126" t="s">
        <v>329</v>
      </c>
      <c r="L97" s="126" t="s">
        <v>264</v>
      </c>
      <c r="M97" s="127" t="s">
        <v>265</v>
      </c>
    </row>
    <row r="98" spans="4:13" x14ac:dyDescent="0.3">
      <c r="D98" s="94" t="s">
        <v>270</v>
      </c>
      <c r="E98" s="86" t="s">
        <v>74</v>
      </c>
      <c r="G98" s="128"/>
      <c r="H98" s="129"/>
      <c r="I98" s="130">
        <v>0.41699999999999998</v>
      </c>
      <c r="J98" s="131" t="str" cm="1">
        <f t="array" aca="1" ref="J98" ca="1">_xlfn.XLOOKUP($K102,INDIRECT($J102),INDIRECT($J102&amp;"_Platino"),"No Existe")</f>
        <v>\one</v>
      </c>
      <c r="K98" s="136">
        <v>0.02</v>
      </c>
      <c r="L98" s="130">
        <v>2</v>
      </c>
      <c r="M98" s="132">
        <v>0.95</v>
      </c>
    </row>
    <row r="99" spans="4:13" x14ac:dyDescent="0.3">
      <c r="G99" s="123"/>
      <c r="H99" s="43"/>
      <c r="I99" s="34"/>
      <c r="J99" s="81"/>
      <c r="K99" s="34"/>
      <c r="L99" s="34"/>
      <c r="M99" s="34"/>
    </row>
    <row r="100" spans="4:13" x14ac:dyDescent="0.3">
      <c r="D100" t="s">
        <v>242</v>
      </c>
      <c r="E100" s="1" t="s">
        <v>255</v>
      </c>
    </row>
    <row r="101" spans="4:13" x14ac:dyDescent="0.3">
      <c r="D101" s="34"/>
      <c r="E101" s="18" t="s">
        <v>73</v>
      </c>
      <c r="J101" t="s">
        <v>323</v>
      </c>
      <c r="K101" t="s">
        <v>262</v>
      </c>
    </row>
    <row r="102" spans="4:13" x14ac:dyDescent="0.3">
      <c r="D102" s="34"/>
      <c r="E102" s="18" t="s">
        <v>74</v>
      </c>
      <c r="J102" t="s">
        <v>140</v>
      </c>
      <c r="K102" t="s">
        <v>350</v>
      </c>
    </row>
    <row r="104" spans="4:13" x14ac:dyDescent="0.3">
      <c r="D104" s="37" t="s">
        <v>89</v>
      </c>
    </row>
    <row r="105" spans="4:13" x14ac:dyDescent="0.3">
      <c r="D105" s="38"/>
    </row>
    <row r="107" spans="4:13" x14ac:dyDescent="0.3">
      <c r="D107" s="150" t="s">
        <v>94</v>
      </c>
      <c r="E107" s="151"/>
      <c r="F107" s="151"/>
      <c r="G107" s="151"/>
      <c r="H107" s="151"/>
      <c r="I107" s="151"/>
      <c r="J107" s="151"/>
      <c r="K107" s="151"/>
    </row>
    <row r="109" spans="4:13" x14ac:dyDescent="0.3">
      <c r="D109" s="30" t="s">
        <v>98</v>
      </c>
      <c r="E109" s="44"/>
      <c r="F109" s="44"/>
      <c r="G109" s="44"/>
      <c r="H109" s="44"/>
      <c r="I109" s="44"/>
      <c r="J109" s="44"/>
      <c r="K109" s="31"/>
    </row>
    <row r="110" spans="4:13" x14ac:dyDescent="0.3">
      <c r="D110" t="s">
        <v>90</v>
      </c>
      <c r="E110" s="1" t="s">
        <v>255</v>
      </c>
      <c r="G110" s="50" t="s">
        <v>92</v>
      </c>
      <c r="I110" s="50" t="s">
        <v>91</v>
      </c>
      <c r="K110" s="50" t="s">
        <v>6</v>
      </c>
    </row>
    <row r="111" spans="4:13" x14ac:dyDescent="0.3">
      <c r="D111" s="16"/>
      <c r="E111" s="86"/>
      <c r="G111" s="122"/>
      <c r="I111" s="122"/>
      <c r="K111" s="122"/>
    </row>
    <row r="113" spans="4:15" x14ac:dyDescent="0.3">
      <c r="D113" s="30" t="s">
        <v>93</v>
      </c>
      <c r="E113" s="44"/>
      <c r="F113" s="44"/>
      <c r="G113" s="44"/>
      <c r="H113" s="44"/>
      <c r="I113" s="44"/>
      <c r="J113" s="44"/>
      <c r="K113" s="31"/>
    </row>
    <row r="114" spans="4:15" x14ac:dyDescent="0.3">
      <c r="D114" t="s">
        <v>90</v>
      </c>
      <c r="E114" s="1" t="s">
        <v>255</v>
      </c>
      <c r="G114" s="50" t="s">
        <v>92</v>
      </c>
      <c r="I114" s="50" t="s">
        <v>91</v>
      </c>
      <c r="K114" s="50" t="s">
        <v>6</v>
      </c>
    </row>
    <row r="115" spans="4:15" x14ac:dyDescent="0.3">
      <c r="E115" s="18" t="s">
        <v>73</v>
      </c>
      <c r="G115" s="51"/>
      <c r="I115" s="51"/>
      <c r="K115" s="51"/>
    </row>
    <row r="122" spans="4:15" x14ac:dyDescent="0.3">
      <c r="D122" s="35" t="s">
        <v>68</v>
      </c>
      <c r="E122" s="36"/>
      <c r="G122" s="61" t="s">
        <v>95</v>
      </c>
    </row>
    <row r="123" spans="4:15" x14ac:dyDescent="0.3">
      <c r="D123" t="s">
        <v>273</v>
      </c>
      <c r="E123" s="1" t="s">
        <v>255</v>
      </c>
      <c r="G123" s="62" t="s">
        <v>96</v>
      </c>
      <c r="H123" s="7"/>
      <c r="I123" s="7"/>
      <c r="J123" s="7"/>
      <c r="K123" s="7"/>
      <c r="L123" s="31"/>
    </row>
    <row r="124" spans="4:15" x14ac:dyDescent="0.3">
      <c r="D124" s="27"/>
      <c r="E124" s="18" t="s">
        <v>73</v>
      </c>
      <c r="G124" s="148" t="s">
        <v>99</v>
      </c>
      <c r="H124" s="149"/>
      <c r="I124" s="149"/>
      <c r="J124" s="149"/>
      <c r="K124" s="149"/>
      <c r="L124" s="149"/>
    </row>
    <row r="125" spans="4:15" x14ac:dyDescent="0.3">
      <c r="D125" s="27"/>
      <c r="E125" s="18" t="s">
        <v>74</v>
      </c>
      <c r="G125" t="s">
        <v>68</v>
      </c>
      <c r="H125" t="s">
        <v>255</v>
      </c>
      <c r="I125" t="s">
        <v>273</v>
      </c>
      <c r="J125" t="s">
        <v>103</v>
      </c>
      <c r="K125" t="s">
        <v>104</v>
      </c>
      <c r="L125" t="s">
        <v>324</v>
      </c>
      <c r="N125" t="s">
        <v>323</v>
      </c>
      <c r="O125" t="s">
        <v>262</v>
      </c>
    </row>
    <row r="126" spans="4:15" x14ac:dyDescent="0.3">
      <c r="G126" s="63"/>
      <c r="H126" s="43" t="s">
        <v>73</v>
      </c>
      <c r="I126" s="34"/>
      <c r="J126" s="34"/>
      <c r="K126" s="34"/>
      <c r="L126" t="str" cm="1">
        <f t="array" aca="1" ref="L126" ca="1">_xlfn.XLOOKUP($O126,INDIRECT($N126),INDIRECT($N126&amp;"_Platino"),"No Existe")</f>
        <v>\kelvin</v>
      </c>
      <c r="N126" t="s">
        <v>130</v>
      </c>
      <c r="O126" t="s">
        <v>31</v>
      </c>
    </row>
    <row r="127" spans="4:15" x14ac:dyDescent="0.3">
      <c r="D127" t="s">
        <v>242</v>
      </c>
      <c r="E127" s="1" t="s">
        <v>255</v>
      </c>
      <c r="G127" s="63"/>
      <c r="H127" s="43" t="s">
        <v>73</v>
      </c>
      <c r="I127" s="34"/>
      <c r="J127" s="34"/>
      <c r="K127" s="34"/>
      <c r="L127" t="str" cm="1">
        <f t="array" aca="1" ref="L127" ca="1">_xlfn.XLOOKUP($O127,INDIRECT($N127),INDIRECT($N127&amp;"_Platino"),"No Existe")</f>
        <v>\degreeCelsius</v>
      </c>
      <c r="N127" t="s">
        <v>131</v>
      </c>
      <c r="O127" t="s">
        <v>328</v>
      </c>
    </row>
    <row r="128" spans="4:15" x14ac:dyDescent="0.3">
      <c r="D128" s="34"/>
      <c r="E128" s="18" t="s">
        <v>73</v>
      </c>
    </row>
    <row r="129" spans="4:11" x14ac:dyDescent="0.3">
      <c r="D129" s="34"/>
      <c r="E129" s="18" t="s">
        <v>74</v>
      </c>
    </row>
    <row r="131" spans="4:11" x14ac:dyDescent="0.3">
      <c r="D131" s="37" t="s">
        <v>89</v>
      </c>
    </row>
    <row r="132" spans="4:11" x14ac:dyDescent="0.3">
      <c r="D132" s="38"/>
    </row>
    <row r="134" spans="4:11" x14ac:dyDescent="0.3">
      <c r="D134" s="150" t="s">
        <v>94</v>
      </c>
      <c r="E134" s="151"/>
      <c r="F134" s="151"/>
      <c r="G134" s="151"/>
      <c r="H134" s="151"/>
      <c r="I134" s="151"/>
      <c r="J134" s="151"/>
      <c r="K134" s="151"/>
    </row>
    <row r="136" spans="4:11" x14ac:dyDescent="0.3">
      <c r="D136" s="30" t="s">
        <v>98</v>
      </c>
      <c r="E136" s="44"/>
      <c r="F136" s="44"/>
      <c r="G136" s="44"/>
      <c r="H136" s="44"/>
      <c r="I136" s="44"/>
      <c r="J136" s="44"/>
      <c r="K136" s="31"/>
    </row>
    <row r="137" spans="4:11" x14ac:dyDescent="0.3">
      <c r="D137" t="s">
        <v>90</v>
      </c>
      <c r="E137" s="1" t="s">
        <v>255</v>
      </c>
      <c r="G137" s="50" t="s">
        <v>92</v>
      </c>
      <c r="I137" s="50" t="s">
        <v>91</v>
      </c>
      <c r="K137" s="50" t="s">
        <v>6</v>
      </c>
    </row>
    <row r="138" spans="4:11" x14ac:dyDescent="0.3">
      <c r="E138" s="18" t="s">
        <v>73</v>
      </c>
      <c r="G138" s="51"/>
      <c r="I138" s="51"/>
      <c r="K138" s="51"/>
    </row>
    <row r="140" spans="4:11" x14ac:dyDescent="0.3">
      <c r="D140" s="30" t="s">
        <v>93</v>
      </c>
      <c r="E140" s="44"/>
      <c r="F140" s="44"/>
      <c r="G140" s="44"/>
      <c r="H140" s="44"/>
      <c r="I140" s="44"/>
      <c r="J140" s="44"/>
      <c r="K140" s="31"/>
    </row>
    <row r="141" spans="4:11" x14ac:dyDescent="0.3">
      <c r="D141" t="s">
        <v>90</v>
      </c>
      <c r="E141" s="1" t="s">
        <v>255</v>
      </c>
      <c r="G141" s="50" t="s">
        <v>92</v>
      </c>
      <c r="I141" s="50" t="s">
        <v>91</v>
      </c>
      <c r="K141" s="50" t="s">
        <v>6</v>
      </c>
    </row>
    <row r="142" spans="4:11" x14ac:dyDescent="0.3">
      <c r="E142" s="18" t="s">
        <v>73</v>
      </c>
      <c r="G142" s="51"/>
      <c r="I142" s="51"/>
      <c r="K142" s="51"/>
    </row>
    <row r="147" spans="3:15" x14ac:dyDescent="0.3">
      <c r="J147" s="100" t="s">
        <v>95</v>
      </c>
      <c r="K147" s="34"/>
      <c r="L147" s="34"/>
      <c r="M147" s="34"/>
      <c r="N147" s="34"/>
      <c r="O147" s="34"/>
    </row>
    <row r="148" spans="3:15" x14ac:dyDescent="0.3">
      <c r="F148" s="99" t="s">
        <v>94</v>
      </c>
      <c r="G148" s="97"/>
      <c r="H148" s="97"/>
      <c r="I148" s="96"/>
      <c r="J148" s="101" t="s">
        <v>96</v>
      </c>
      <c r="K148" s="102"/>
      <c r="L148" s="102"/>
      <c r="M148" s="102"/>
      <c r="N148" s="102"/>
      <c r="O148" s="31"/>
    </row>
    <row r="149" spans="3:15" x14ac:dyDescent="0.3">
      <c r="D149" s="35"/>
      <c r="E149" s="60"/>
      <c r="F149" s="98" t="s">
        <v>299</v>
      </c>
      <c r="G149" s="98"/>
      <c r="H149" s="95"/>
      <c r="I149" s="95"/>
      <c r="J149" s="103" t="s">
        <v>99</v>
      </c>
      <c r="K149" s="104"/>
      <c r="L149" s="104"/>
      <c r="M149" s="104"/>
      <c r="N149" s="104"/>
      <c r="O149" s="104"/>
    </row>
    <row r="150" spans="3:15" x14ac:dyDescent="0.3">
      <c r="C150" t="s">
        <v>68</v>
      </c>
      <c r="D150" t="s">
        <v>273</v>
      </c>
      <c r="E150" s="1" t="s">
        <v>255</v>
      </c>
      <c r="F150" t="s">
        <v>254</v>
      </c>
      <c r="G150" t="s">
        <v>253</v>
      </c>
      <c r="H150" t="s">
        <v>257</v>
      </c>
      <c r="I150" t="s">
        <v>104</v>
      </c>
      <c r="J150" t="s">
        <v>298</v>
      </c>
      <c r="K150" t="s">
        <v>260</v>
      </c>
      <c r="L150" t="s">
        <v>262</v>
      </c>
      <c r="M150" t="s">
        <v>333</v>
      </c>
      <c r="N150" t="s">
        <v>334</v>
      </c>
      <c r="O150" t="s">
        <v>335</v>
      </c>
    </row>
    <row r="151" spans="3:15" x14ac:dyDescent="0.3">
      <c r="C151" s="81" t="s">
        <v>183</v>
      </c>
      <c r="D151" s="94" t="s">
        <v>313</v>
      </c>
      <c r="E151" s="86" t="s">
        <v>74</v>
      </c>
      <c r="F151" s="81" t="s">
        <v>252</v>
      </c>
      <c r="G151" s="81" t="s">
        <v>256</v>
      </c>
      <c r="H151" s="81" t="s">
        <v>258</v>
      </c>
      <c r="I151" s="81" t="s">
        <v>258</v>
      </c>
      <c r="J151" s="81" t="s">
        <v>259</v>
      </c>
      <c r="K151">
        <v>8010</v>
      </c>
      <c r="L151" s="81"/>
      <c r="M151">
        <v>30</v>
      </c>
      <c r="N151">
        <v>2</v>
      </c>
      <c r="O151">
        <v>0.95</v>
      </c>
    </row>
    <row r="152" spans="3:15" x14ac:dyDescent="0.3">
      <c r="C152" s="81" t="s">
        <v>135</v>
      </c>
      <c r="D152" t="s">
        <v>266</v>
      </c>
      <c r="E152" s="86" t="s">
        <v>74</v>
      </c>
      <c r="F152" s="81"/>
      <c r="G152" s="81"/>
      <c r="H152" s="81"/>
      <c r="I152" s="81"/>
      <c r="J152" s="81" t="s">
        <v>267</v>
      </c>
      <c r="K152">
        <v>294.05</v>
      </c>
      <c r="L152" s="81"/>
      <c r="M152">
        <v>0.5</v>
      </c>
      <c r="N152">
        <v>2</v>
      </c>
      <c r="O152">
        <v>0.95</v>
      </c>
    </row>
    <row r="153" spans="3:15" x14ac:dyDescent="0.3">
      <c r="C153" t="s">
        <v>169</v>
      </c>
      <c r="D153" s="27" t="s">
        <v>268</v>
      </c>
      <c r="E153" s="18" t="s">
        <v>74</v>
      </c>
      <c r="J153" t="s">
        <v>267</v>
      </c>
      <c r="K153">
        <v>1.1635</v>
      </c>
      <c r="M153">
        <v>3.5000000000000001E-3</v>
      </c>
      <c r="N153">
        <v>2</v>
      </c>
      <c r="O153">
        <v>0.95</v>
      </c>
    </row>
    <row r="154" spans="3:15" x14ac:dyDescent="0.3">
      <c r="C154" t="s">
        <v>269</v>
      </c>
      <c r="D154" s="27" t="s">
        <v>270</v>
      </c>
      <c r="E154" s="18" t="s">
        <v>74</v>
      </c>
      <c r="J154" t="s">
        <v>267</v>
      </c>
      <c r="K154">
        <v>0.41699999999999998</v>
      </c>
      <c r="M154">
        <v>0.02</v>
      </c>
      <c r="N154">
        <v>2</v>
      </c>
      <c r="O154">
        <v>0.95</v>
      </c>
    </row>
  </sheetData>
  <mergeCells count="6">
    <mergeCell ref="G124:L124"/>
    <mergeCell ref="D26:K26"/>
    <mergeCell ref="D134:K134"/>
    <mergeCell ref="D53:K53"/>
    <mergeCell ref="D80:K80"/>
    <mergeCell ref="D107:K107"/>
  </mergeCells>
  <phoneticPr fontId="28" type="noConversion"/>
  <dataValidations count="2">
    <dataValidation type="list" allowBlank="1" showInputMessage="1" showErrorMessage="1" sqref="J48 J21 N126:N127 J75 J102" xr:uid="{00000000-0002-0000-0200-000000000000}">
      <formula1>TipoUnidad</formula1>
    </dataValidation>
    <dataValidation type="list" allowBlank="1" showInputMessage="1" showErrorMessage="1" sqref="K48 K21 O126:O127 K75 K102" xr:uid="{DC04A735-21E7-424E-BB3B-CFB61519ADE0}">
      <formula1>INDIRECT(J21)</formula1>
    </dataValidation>
  </dataValidations>
  <pageMargins left="0.7" right="0.7" top="0.75" bottom="0.75" header="0.3" footer="0.3"/>
  <drawing r:id="rId1"/>
  <tableParts count="27">
    <tablePart r:id="rId3"/>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 r:id="rId22"/>
    <tablePart r:id="rId23"/>
    <tablePart r:id="rId24"/>
    <tablePart r:id="rId25"/>
    <tablePart r:id="rId26"/>
    <tablePart r:id="rId27"/>
    <tablePart r:id="rId28"/>
    <tablePart r:id="rId29"/>
  </tableParts>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Hoja4">
    <tabColor rgb="FFC00000"/>
  </sheetPr>
  <dimension ref="B3:X110"/>
  <sheetViews>
    <sheetView showGridLines="0" zoomScaleNormal="100" workbookViewId="0">
      <selection activeCell="H110" sqref="H110"/>
    </sheetView>
  </sheetViews>
  <sheetFormatPr defaultColWidth="8.77734375" defaultRowHeight="14.4" x14ac:dyDescent="0.3"/>
  <cols>
    <col min="1" max="1" width="2.6640625" customWidth="1"/>
    <col min="2" max="2" width="5.33203125" customWidth="1"/>
    <col min="3" max="3" width="50.6640625" customWidth="1"/>
    <col min="4" max="4" width="10.6640625" customWidth="1"/>
    <col min="5" max="5" width="16.77734375" customWidth="1"/>
    <col min="6" max="6" width="40.6640625" customWidth="1"/>
    <col min="7" max="7" width="16.33203125" bestFit="1" customWidth="1"/>
    <col min="8" max="8" width="25.6640625" customWidth="1"/>
    <col min="9" max="9" width="14.33203125" customWidth="1"/>
    <col min="10" max="11" width="16.77734375" bestFit="1" customWidth="1"/>
    <col min="12" max="12" width="10.77734375" bestFit="1" customWidth="1"/>
    <col min="13" max="13" width="19.44140625" customWidth="1"/>
    <col min="14" max="14" width="14.33203125" customWidth="1"/>
    <col min="15" max="15" width="17.77734375" customWidth="1"/>
    <col min="16" max="16" width="16.33203125" bestFit="1" customWidth="1"/>
    <col min="17" max="17" width="19.33203125" bestFit="1" customWidth="1"/>
    <col min="18" max="18" width="10.109375" bestFit="1" customWidth="1"/>
    <col min="19" max="19" width="15" bestFit="1" customWidth="1"/>
    <col min="20" max="20" width="18.6640625" bestFit="1" customWidth="1"/>
    <col min="21" max="21" width="10" bestFit="1" customWidth="1"/>
    <col min="22" max="22" width="11.44140625" bestFit="1" customWidth="1"/>
    <col min="23" max="23" width="15" bestFit="1" customWidth="1"/>
  </cols>
  <sheetData>
    <row r="3" spans="2:24" ht="15" customHeight="1" x14ac:dyDescent="0.3"/>
    <row r="10" spans="2:24" x14ac:dyDescent="0.3">
      <c r="B10" s="9"/>
      <c r="C10" s="9"/>
      <c r="D10" s="9"/>
      <c r="E10" s="9"/>
      <c r="F10" s="9"/>
      <c r="G10" s="9"/>
      <c r="H10" s="9"/>
      <c r="I10" s="9"/>
      <c r="J10" s="9"/>
      <c r="K10" s="9"/>
      <c r="L10" s="9"/>
      <c r="M10" s="9"/>
      <c r="N10" s="9"/>
      <c r="O10" s="9"/>
      <c r="P10" s="9"/>
      <c r="Q10" s="9"/>
      <c r="R10" s="9"/>
      <c r="S10" s="9"/>
      <c r="T10" s="9"/>
      <c r="U10" s="9"/>
      <c r="V10" s="9"/>
      <c r="W10" s="9"/>
      <c r="X10" s="9"/>
    </row>
    <row r="14" spans="2:24" x14ac:dyDescent="0.3">
      <c r="C14" s="35" t="s">
        <v>68</v>
      </c>
      <c r="D14" s="114" t="s">
        <v>229</v>
      </c>
    </row>
    <row r="15" spans="2:24" x14ac:dyDescent="0.3">
      <c r="C15" t="s">
        <v>273</v>
      </c>
      <c r="D15" s="1" t="s">
        <v>255</v>
      </c>
      <c r="F15" t="s">
        <v>242</v>
      </c>
      <c r="G15" t="s">
        <v>255</v>
      </c>
    </row>
    <row r="16" spans="2:24" x14ac:dyDescent="0.3">
      <c r="C16" s="94" t="s">
        <v>315</v>
      </c>
      <c r="D16" s="86" t="s">
        <v>306</v>
      </c>
      <c r="F16" s="34"/>
      <c r="G16" s="43" t="s">
        <v>73</v>
      </c>
    </row>
    <row r="17" spans="3:9" x14ac:dyDescent="0.3">
      <c r="C17" s="94" t="s">
        <v>274</v>
      </c>
      <c r="D17" s="86" t="s">
        <v>74</v>
      </c>
      <c r="F17" s="34"/>
      <c r="G17" s="43" t="s">
        <v>74</v>
      </c>
    </row>
    <row r="19" spans="3:9" x14ac:dyDescent="0.3">
      <c r="F19" s="26" t="s">
        <v>102</v>
      </c>
    </row>
    <row r="20" spans="3:9" x14ac:dyDescent="0.3">
      <c r="C20">
        <v>2</v>
      </c>
      <c r="F20" s="64"/>
      <c r="I20" t="s">
        <v>101</v>
      </c>
    </row>
    <row r="22" spans="3:9" x14ac:dyDescent="0.3">
      <c r="D22" s="65"/>
    </row>
    <row r="23" spans="3:9" x14ac:dyDescent="0.3">
      <c r="C23" s="61" t="s">
        <v>95</v>
      </c>
    </row>
    <row r="24" spans="3:9" x14ac:dyDescent="0.3">
      <c r="C24" s="66" t="s">
        <v>96</v>
      </c>
      <c r="D24" s="67"/>
      <c r="E24" s="7"/>
      <c r="F24" s="7"/>
      <c r="G24" s="7"/>
      <c r="H24" s="8"/>
    </row>
    <row r="25" spans="3:9" x14ac:dyDescent="0.3">
      <c r="C25" s="68" t="s">
        <v>68</v>
      </c>
      <c r="D25" s="114" t="s">
        <v>291</v>
      </c>
      <c r="H25" s="69"/>
    </row>
    <row r="26" spans="3:9" x14ac:dyDescent="0.3">
      <c r="C26" t="s">
        <v>273</v>
      </c>
      <c r="D26" s="1" t="s">
        <v>255</v>
      </c>
      <c r="F26" s="40" t="s">
        <v>99</v>
      </c>
      <c r="G26" s="70"/>
      <c r="H26" s="70"/>
    </row>
    <row r="27" spans="3:9" x14ac:dyDescent="0.3">
      <c r="C27" s="94" t="s">
        <v>314</v>
      </c>
      <c r="D27" s="86" t="s">
        <v>306</v>
      </c>
      <c r="F27" s="71" t="s">
        <v>103</v>
      </c>
      <c r="G27" s="71" t="s">
        <v>104</v>
      </c>
      <c r="H27" s="71" t="s">
        <v>324</v>
      </c>
    </row>
    <row r="28" spans="3:9" x14ac:dyDescent="0.3">
      <c r="C28" s="94" t="s">
        <v>292</v>
      </c>
      <c r="D28" s="86" t="s">
        <v>74</v>
      </c>
      <c r="F28" s="72"/>
      <c r="G28" s="72">
        <v>2</v>
      </c>
      <c r="H28" s="115" t="str" cm="1">
        <f t="array" aca="1" ref="H28" ca="1">_xlfn.XLOOKUP($H31,INDIRECT($G31),INDIRECT($G31&amp;"_Platino"),"No Existe")</f>
        <v>\kilogram</v>
      </c>
    </row>
    <row r="30" spans="3:9" x14ac:dyDescent="0.3">
      <c r="G30" t="s">
        <v>323</v>
      </c>
      <c r="H30" t="s">
        <v>262</v>
      </c>
    </row>
    <row r="31" spans="3:9" x14ac:dyDescent="0.3">
      <c r="G31" t="s">
        <v>130</v>
      </c>
      <c r="H31" t="s">
        <v>342</v>
      </c>
    </row>
    <row r="33" spans="3:12" x14ac:dyDescent="0.3">
      <c r="D33" s="65"/>
    </row>
    <row r="35" spans="3:12" x14ac:dyDescent="0.3">
      <c r="C35" s="66" t="s">
        <v>96</v>
      </c>
      <c r="D35" s="67"/>
      <c r="E35" s="7"/>
      <c r="F35" s="7"/>
      <c r="G35" s="7"/>
      <c r="H35" s="7"/>
      <c r="I35" s="7"/>
      <c r="J35" s="7"/>
      <c r="K35" s="7"/>
      <c r="L35" s="8"/>
    </row>
    <row r="36" spans="3:12" x14ac:dyDescent="0.3">
      <c r="C36" s="68" t="s">
        <v>68</v>
      </c>
      <c r="D36" s="114" t="s">
        <v>280</v>
      </c>
      <c r="L36" s="69"/>
    </row>
    <row r="37" spans="3:12" x14ac:dyDescent="0.3">
      <c r="C37" t="s">
        <v>273</v>
      </c>
      <c r="D37" s="1" t="s">
        <v>255</v>
      </c>
      <c r="F37" s="40" t="s">
        <v>99</v>
      </c>
      <c r="G37" s="70"/>
      <c r="H37" s="70"/>
      <c r="I37" s="70"/>
      <c r="J37" s="70"/>
      <c r="K37" s="70"/>
      <c r="L37" s="70"/>
    </row>
    <row r="38" spans="3:12" x14ac:dyDescent="0.3">
      <c r="C38" s="16"/>
      <c r="D38" s="10" t="s">
        <v>73</v>
      </c>
      <c r="F38" s="71" t="s">
        <v>103</v>
      </c>
      <c r="G38" s="71" t="s">
        <v>104</v>
      </c>
      <c r="H38" s="71" t="s">
        <v>324</v>
      </c>
      <c r="I38" s="143" t="s">
        <v>336</v>
      </c>
      <c r="J38" s="126" t="s">
        <v>329</v>
      </c>
      <c r="K38" s="126" t="s">
        <v>264</v>
      </c>
      <c r="L38" s="127" t="s">
        <v>265</v>
      </c>
    </row>
    <row r="39" spans="3:12" x14ac:dyDescent="0.3">
      <c r="C39" s="16"/>
      <c r="D39" s="10" t="s">
        <v>74</v>
      </c>
      <c r="F39" s="72"/>
      <c r="G39" s="72">
        <v>2.0000002000000001</v>
      </c>
      <c r="H39" s="115" t="str" cm="1">
        <f t="array" aca="1" ref="H39" ca="1">_xlfn.XLOOKUP($H42,INDIRECT($G42),INDIRECT($G42&amp;"_Platino"),"No Existe")</f>
        <v>\kilogram</v>
      </c>
      <c r="I39" s="118" t="s">
        <v>316</v>
      </c>
      <c r="J39" s="73">
        <v>5.3000000000000001E-7</v>
      </c>
      <c r="K39" s="116">
        <v>2</v>
      </c>
      <c r="L39" s="116">
        <v>0.95</v>
      </c>
    </row>
    <row r="41" spans="3:12" x14ac:dyDescent="0.3">
      <c r="G41" t="s">
        <v>323</v>
      </c>
      <c r="H41" t="s">
        <v>262</v>
      </c>
    </row>
    <row r="42" spans="3:12" x14ac:dyDescent="0.3">
      <c r="G42" t="s">
        <v>130</v>
      </c>
      <c r="H42" t="s">
        <v>342</v>
      </c>
    </row>
    <row r="47" spans="3:12" x14ac:dyDescent="0.3">
      <c r="E47" s="35" t="s">
        <v>68</v>
      </c>
      <c r="F47" s="123" t="s">
        <v>293</v>
      </c>
    </row>
    <row r="48" spans="3:12" x14ac:dyDescent="0.3">
      <c r="E48" s="35"/>
      <c r="F48" s="71" t="s">
        <v>285</v>
      </c>
      <c r="G48" s="71" t="s">
        <v>247</v>
      </c>
      <c r="H48" s="71" t="s">
        <v>121</v>
      </c>
    </row>
    <row r="49" spans="5:11" x14ac:dyDescent="0.3">
      <c r="F49" s="81" t="s">
        <v>294</v>
      </c>
      <c r="G49" s="81" t="s">
        <v>241</v>
      </c>
      <c r="H49" s="81" t="s">
        <v>122</v>
      </c>
    </row>
    <row r="50" spans="5:11" x14ac:dyDescent="0.3">
      <c r="K50" s="34"/>
    </row>
    <row r="51" spans="5:11" x14ac:dyDescent="0.3">
      <c r="E51" s="35"/>
      <c r="F51" s="123"/>
      <c r="G51" s="34"/>
      <c r="H51" s="34"/>
      <c r="J51" s="34"/>
    </row>
    <row r="52" spans="5:11" x14ac:dyDescent="0.3">
      <c r="F52" s="40" t="s">
        <v>99</v>
      </c>
      <c r="G52" s="70"/>
      <c r="H52" s="70"/>
    </row>
    <row r="53" spans="5:11" x14ac:dyDescent="0.3">
      <c r="E53" s="141" t="s">
        <v>68</v>
      </c>
      <c r="F53" s="137" t="s">
        <v>103</v>
      </c>
      <c r="G53" s="71" t="s">
        <v>104</v>
      </c>
      <c r="H53" s="71" t="s">
        <v>324</v>
      </c>
    </row>
    <row r="54" spans="5:11" x14ac:dyDescent="0.3">
      <c r="E54" s="142" t="s">
        <v>295</v>
      </c>
      <c r="F54" s="138"/>
      <c r="G54" s="72">
        <v>1.999997</v>
      </c>
      <c r="H54" s="140" t="str" cm="1">
        <f t="array" aca="1" ref="H54" ca="1">_xlfn.XLOOKUP($H58,INDIRECT($G58),INDIRECT($G58&amp;"_Platino"),"No Existe")</f>
        <v>\kilogram</v>
      </c>
    </row>
    <row r="55" spans="5:11" x14ac:dyDescent="0.3">
      <c r="E55" s="142" t="s">
        <v>296</v>
      </c>
      <c r="F55" s="138"/>
      <c r="G55" s="72">
        <v>2.000003</v>
      </c>
      <c r="H55" s="140" t="str" cm="1">
        <f t="array" aca="1" ref="H55" ca="1">_xlfn.XLOOKUP($H59,INDIRECT($G59),INDIRECT($G59&amp;"_Platino"),"No Existe")</f>
        <v>\kilogram</v>
      </c>
    </row>
    <row r="57" spans="5:11" x14ac:dyDescent="0.3">
      <c r="G57" t="s">
        <v>323</v>
      </c>
      <c r="H57" t="s">
        <v>262</v>
      </c>
    </row>
    <row r="58" spans="5:11" x14ac:dyDescent="0.3">
      <c r="G58" t="s">
        <v>130</v>
      </c>
      <c r="H58" t="s">
        <v>342</v>
      </c>
    </row>
    <row r="59" spans="5:11" x14ac:dyDescent="0.3">
      <c r="G59" t="s">
        <v>130</v>
      </c>
      <c r="H59" t="s">
        <v>342</v>
      </c>
    </row>
    <row r="60" spans="5:11" x14ac:dyDescent="0.3">
      <c r="E60" s="35" t="s">
        <v>68</v>
      </c>
      <c r="F60" s="16" t="s">
        <v>296</v>
      </c>
      <c r="G60" s="34"/>
      <c r="H60" s="34"/>
    </row>
    <row r="61" spans="5:11" x14ac:dyDescent="0.3">
      <c r="F61" s="40" t="s">
        <v>99</v>
      </c>
      <c r="G61" s="70"/>
      <c r="H61" s="70"/>
    </row>
    <row r="62" spans="5:11" x14ac:dyDescent="0.3">
      <c r="F62" s="71" t="s">
        <v>103</v>
      </c>
      <c r="G62" s="71" t="s">
        <v>104</v>
      </c>
      <c r="H62" s="147" t="s">
        <v>324</v>
      </c>
    </row>
    <row r="63" spans="5:11" x14ac:dyDescent="0.3">
      <c r="F63" s="72"/>
      <c r="G63" s="72">
        <v>2.000003</v>
      </c>
      <c r="H63" s="139" t="str" cm="1">
        <f t="array" aca="1" ref="H63" ca="1">_xlfn.XLOOKUP($H66,INDIRECT($G66),INDIRECT($G66&amp;"_Platino"),"No Existe")</f>
        <v>\kilogram</v>
      </c>
    </row>
    <row r="65" spans="3:12" x14ac:dyDescent="0.3">
      <c r="G65" t="s">
        <v>323</v>
      </c>
      <c r="H65" t="s">
        <v>262</v>
      </c>
    </row>
    <row r="66" spans="3:12" x14ac:dyDescent="0.3">
      <c r="G66" t="s">
        <v>130</v>
      </c>
      <c r="H66" t="s">
        <v>342</v>
      </c>
    </row>
    <row r="69" spans="3:12" x14ac:dyDescent="0.3">
      <c r="C69" s="117" t="s">
        <v>68</v>
      </c>
      <c r="D69" s="114" t="s">
        <v>297</v>
      </c>
      <c r="E69" s="35"/>
      <c r="F69" s="81"/>
    </row>
    <row r="70" spans="3:12" x14ac:dyDescent="0.3">
      <c r="C70" t="s">
        <v>273</v>
      </c>
      <c r="D70" s="1" t="s">
        <v>255</v>
      </c>
      <c r="F70" s="40" t="s">
        <v>99</v>
      </c>
      <c r="G70" s="70"/>
      <c r="H70" s="70"/>
      <c r="I70" s="70"/>
      <c r="J70" s="70"/>
      <c r="K70" s="70"/>
      <c r="L70" s="70"/>
    </row>
    <row r="71" spans="3:12" x14ac:dyDescent="0.3">
      <c r="C71" s="16"/>
      <c r="D71" s="10" t="s">
        <v>73</v>
      </c>
      <c r="F71" s="71" t="s">
        <v>103</v>
      </c>
      <c r="G71" s="71" t="s">
        <v>104</v>
      </c>
      <c r="H71" s="71" t="s">
        <v>324</v>
      </c>
      <c r="I71" s="143" t="s">
        <v>336</v>
      </c>
      <c r="J71" s="126" t="s">
        <v>329</v>
      </c>
      <c r="K71" s="126" t="s">
        <v>264</v>
      </c>
      <c r="L71" s="127" t="s">
        <v>265</v>
      </c>
    </row>
    <row r="72" spans="3:12" x14ac:dyDescent="0.3">
      <c r="C72" s="16"/>
      <c r="D72" s="10" t="s">
        <v>74</v>
      </c>
      <c r="F72" s="72"/>
      <c r="G72" s="72">
        <v>1.9999999999999999E-7</v>
      </c>
      <c r="H72" s="115" t="str" cm="1">
        <f t="array" aca="1" ref="H72" ca="1">_xlfn.XLOOKUP($H75,INDIRECT($G75),INDIRECT($G75&amp;"_Platino"),"No Existe")</f>
        <v>\kilogram</v>
      </c>
      <c r="I72" s="118" t="s">
        <v>316</v>
      </c>
      <c r="J72" s="73">
        <v>5.3000000000000001E-7</v>
      </c>
      <c r="K72" s="116">
        <v>2</v>
      </c>
      <c r="L72" s="116">
        <v>0.95</v>
      </c>
    </row>
    <row r="74" spans="3:12" x14ac:dyDescent="0.3">
      <c r="G74" t="s">
        <v>323</v>
      </c>
      <c r="H74" t="s">
        <v>262</v>
      </c>
    </row>
    <row r="75" spans="3:12" x14ac:dyDescent="0.3">
      <c r="G75" t="s">
        <v>130</v>
      </c>
      <c r="H75" t="s">
        <v>342</v>
      </c>
    </row>
    <row r="82" spans="3:9" x14ac:dyDescent="0.3">
      <c r="C82" s="35" t="s">
        <v>68</v>
      </c>
      <c r="D82" s="114" t="s">
        <v>199</v>
      </c>
    </row>
    <row r="83" spans="3:9" x14ac:dyDescent="0.3">
      <c r="C83" t="s">
        <v>273</v>
      </c>
      <c r="D83" s="1" t="s">
        <v>255</v>
      </c>
      <c r="F83" t="s">
        <v>242</v>
      </c>
      <c r="G83" t="s">
        <v>255</v>
      </c>
    </row>
    <row r="84" spans="3:9" x14ac:dyDescent="0.3">
      <c r="C84" s="94" t="s">
        <v>317</v>
      </c>
      <c r="D84" s="86" t="s">
        <v>306</v>
      </c>
      <c r="F84" s="34"/>
      <c r="G84" s="43" t="s">
        <v>73</v>
      </c>
    </row>
    <row r="85" spans="3:9" x14ac:dyDescent="0.3">
      <c r="C85" s="94" t="s">
        <v>318</v>
      </c>
      <c r="D85" s="86" t="s">
        <v>74</v>
      </c>
      <c r="F85" s="34"/>
      <c r="G85" s="43" t="s">
        <v>74</v>
      </c>
    </row>
    <row r="87" spans="3:9" x14ac:dyDescent="0.3">
      <c r="F87" s="26" t="s">
        <v>102</v>
      </c>
    </row>
    <row r="88" spans="3:9" x14ac:dyDescent="0.3">
      <c r="F88" s="64"/>
      <c r="I88" t="s">
        <v>101</v>
      </c>
    </row>
    <row r="90" spans="3:9" x14ac:dyDescent="0.3">
      <c r="D90" s="65"/>
    </row>
    <row r="91" spans="3:9" x14ac:dyDescent="0.3">
      <c r="C91" s="61" t="s">
        <v>95</v>
      </c>
    </row>
    <row r="92" spans="3:9" x14ac:dyDescent="0.3">
      <c r="C92" s="66" t="s">
        <v>96</v>
      </c>
      <c r="D92" s="67"/>
      <c r="E92" s="7"/>
      <c r="F92" s="7"/>
      <c r="G92" s="7"/>
      <c r="H92" s="8"/>
    </row>
    <row r="93" spans="3:9" x14ac:dyDescent="0.3">
      <c r="C93" s="68" t="s">
        <v>68</v>
      </c>
      <c r="D93" s="114" t="s">
        <v>291</v>
      </c>
      <c r="H93" s="69"/>
    </row>
    <row r="94" spans="3:9" x14ac:dyDescent="0.3">
      <c r="C94" t="s">
        <v>273</v>
      </c>
      <c r="D94" s="1" t="s">
        <v>255</v>
      </c>
      <c r="F94" s="40" t="s">
        <v>99</v>
      </c>
      <c r="G94" s="70"/>
      <c r="H94" s="70"/>
    </row>
    <row r="95" spans="3:9" x14ac:dyDescent="0.3">
      <c r="C95" s="16" t="s">
        <v>314</v>
      </c>
      <c r="D95" s="10" t="s">
        <v>73</v>
      </c>
      <c r="F95" s="71" t="s">
        <v>103</v>
      </c>
      <c r="G95" s="71" t="s">
        <v>104</v>
      </c>
      <c r="H95" s="71" t="s">
        <v>324</v>
      </c>
    </row>
    <row r="96" spans="3:9" x14ac:dyDescent="0.3">
      <c r="C96" s="16" t="s">
        <v>292</v>
      </c>
      <c r="D96" s="10" t="s">
        <v>74</v>
      </c>
      <c r="F96" s="72"/>
      <c r="G96" s="72">
        <v>2</v>
      </c>
      <c r="H96" s="115" t="str" cm="1">
        <f t="array" aca="1" ref="H96" ca="1">_xlfn.XLOOKUP($H99,INDIRECT($G99),INDIRECT($G99&amp;"_Platino"),"No Existe")</f>
        <v>\kilogram</v>
      </c>
    </row>
    <row r="98" spans="3:12" x14ac:dyDescent="0.3">
      <c r="G98" t="s">
        <v>323</v>
      </c>
      <c r="H98" t="s">
        <v>262</v>
      </c>
    </row>
    <row r="99" spans="3:12" x14ac:dyDescent="0.3">
      <c r="G99" t="s">
        <v>130</v>
      </c>
      <c r="H99" t="s">
        <v>342</v>
      </c>
    </row>
    <row r="101" spans="3:12" x14ac:dyDescent="0.3">
      <c r="D101" s="65"/>
    </row>
    <row r="103" spans="3:12" x14ac:dyDescent="0.3">
      <c r="C103" s="66" t="s">
        <v>96</v>
      </c>
      <c r="D103" s="67"/>
      <c r="E103" s="7"/>
      <c r="F103" s="7"/>
      <c r="G103" s="7"/>
      <c r="H103" s="7"/>
      <c r="I103" s="7"/>
      <c r="J103" s="7"/>
      <c r="K103" s="7"/>
      <c r="L103" s="8"/>
    </row>
    <row r="104" spans="3:12" x14ac:dyDescent="0.3">
      <c r="C104" s="68" t="s">
        <v>68</v>
      </c>
      <c r="D104" s="114" t="s">
        <v>280</v>
      </c>
      <c r="L104" s="69"/>
    </row>
    <row r="105" spans="3:12" x14ac:dyDescent="0.3">
      <c r="C105" t="s">
        <v>0</v>
      </c>
      <c r="D105" s="1" t="s">
        <v>1</v>
      </c>
      <c r="F105" s="40" t="s">
        <v>99</v>
      </c>
      <c r="G105" s="70"/>
      <c r="H105" s="70"/>
      <c r="I105" s="70"/>
      <c r="J105" s="70"/>
      <c r="K105" s="70"/>
      <c r="L105" s="70"/>
    </row>
    <row r="106" spans="3:12" x14ac:dyDescent="0.3">
      <c r="C106" s="16"/>
      <c r="D106" s="10"/>
      <c r="F106" s="71" t="s">
        <v>103</v>
      </c>
      <c r="G106" s="71" t="s">
        <v>104</v>
      </c>
      <c r="H106" s="71" t="s">
        <v>324</v>
      </c>
      <c r="I106" s="143" t="s">
        <v>336</v>
      </c>
      <c r="J106" s="126" t="s">
        <v>329</v>
      </c>
      <c r="K106" s="126" t="s">
        <v>264</v>
      </c>
      <c r="L106" s="127" t="s">
        <v>265</v>
      </c>
    </row>
    <row r="107" spans="3:12" x14ac:dyDescent="0.3">
      <c r="C107" s="16"/>
      <c r="D107" s="10"/>
      <c r="F107" s="72"/>
      <c r="G107" s="72">
        <v>1.9999998000000001</v>
      </c>
      <c r="H107" s="115" t="str" cm="1">
        <f t="array" aca="1" ref="H107" ca="1">_xlfn.XLOOKUP($H110,INDIRECT($G110),INDIRECT($G110&amp;"_Platino"),"No Existe")</f>
        <v>\kilogram</v>
      </c>
      <c r="I107" s="118" t="s">
        <v>316</v>
      </c>
      <c r="J107" s="73">
        <v>3.1999999999999999E-6</v>
      </c>
      <c r="K107" s="116">
        <v>2</v>
      </c>
      <c r="L107" s="116">
        <v>0.95</v>
      </c>
    </row>
    <row r="109" spans="3:12" x14ac:dyDescent="0.3">
      <c r="G109" t="s">
        <v>323</v>
      </c>
      <c r="H109" t="s">
        <v>262</v>
      </c>
    </row>
    <row r="110" spans="3:12" x14ac:dyDescent="0.3">
      <c r="G110" t="s">
        <v>130</v>
      </c>
      <c r="H110" t="s">
        <v>342</v>
      </c>
    </row>
  </sheetData>
  <dataValidations count="2">
    <dataValidation type="list" allowBlank="1" showInputMessage="1" showErrorMessage="1" sqref="G31 G66 G75 G42 G58:G59 G99 G110" xr:uid="{00000000-0002-0000-0300-000001000000}">
      <formula1>TipoUnidad</formula1>
    </dataValidation>
    <dataValidation type="list" allowBlank="1" showInputMessage="1" showErrorMessage="1" sqref="H31 H66 H75 H42 H58:H59 H99 H110" xr:uid="{23D6F374-A37A-4EF5-99FF-6E66DDB3262F}">
      <formula1>INDIRECT(G31)</formula1>
    </dataValidation>
  </dataValidations>
  <pageMargins left="0.7" right="0.7" top="0.75" bottom="0.75" header="0.3" footer="0.3"/>
  <pageSetup paperSize="9" orientation="portrait" horizontalDpi="1200" verticalDpi="1200" r:id="rId1"/>
  <drawing r:id="rId2"/>
  <tableParts count="19">
    <tablePart r:id="rId4"/>
    <tablePart r:id="rId5"/>
    <tablePart r:id="rId6"/>
    <tablePart r:id="rId7"/>
    <tablePart r:id="rId8"/>
    <tablePart r:id="rId9"/>
    <tablePart r:id="rId10"/>
    <tablePart r:id="rId11"/>
    <tablePart r:id="rId12"/>
    <tablePart r:id="rId13"/>
    <tablePart r:id="rId14"/>
    <tablePart r:id="rId15"/>
    <tablePart r:id="rId16"/>
    <tablePart r:id="rId17"/>
    <tablePart r:id="rId18"/>
    <tablePart r:id="rId19"/>
    <tablePart r:id="rId20"/>
    <tablePart r:id="rId21"/>
    <tablePart r:id="rId22"/>
  </tableParts>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79D3768-54A0-4B48-B74E-0D706A66D41F}">
  <dimension ref="A1:AE74"/>
  <sheetViews>
    <sheetView zoomScaleNormal="100" workbookViewId="0">
      <selection activeCell="E3" sqref="E3"/>
    </sheetView>
  </sheetViews>
  <sheetFormatPr defaultColWidth="11.5546875" defaultRowHeight="14.4" x14ac:dyDescent="0.3"/>
  <cols>
    <col min="2" max="2" width="41.88671875" bestFit="1" customWidth="1"/>
    <col min="3" max="3" width="52.6640625" bestFit="1" customWidth="1"/>
    <col min="4" max="4" width="14.109375" bestFit="1" customWidth="1"/>
    <col min="5" max="5" width="48.21875" bestFit="1" customWidth="1"/>
    <col min="6" max="6" width="16.88671875" customWidth="1"/>
    <col min="7" max="7" width="20.109375" bestFit="1" customWidth="1"/>
    <col min="8" max="9" width="11.5546875" customWidth="1"/>
    <col min="10" max="10" width="24.44140625" bestFit="1" customWidth="1"/>
    <col min="11" max="11" width="16.88671875" bestFit="1" customWidth="1"/>
    <col min="12" max="12" width="28.21875" bestFit="1" customWidth="1"/>
    <col min="13" max="13" width="23.88671875" bestFit="1" customWidth="1"/>
    <col min="14" max="14" width="16.5546875" bestFit="1" customWidth="1"/>
    <col min="15" max="15" width="20.77734375" bestFit="1" customWidth="1"/>
    <col min="16" max="16" width="19.6640625" bestFit="1" customWidth="1"/>
    <col min="17" max="17" width="14" bestFit="1" customWidth="1"/>
    <col min="18" max="18" width="20.109375" bestFit="1" customWidth="1"/>
    <col min="19" max="19" width="12.88671875" bestFit="1" customWidth="1"/>
    <col min="20" max="20" width="28.88671875" bestFit="1" customWidth="1"/>
    <col min="21" max="22" width="12.5546875" customWidth="1"/>
    <col min="23" max="23" width="28.77734375" bestFit="1" customWidth="1"/>
    <col min="24" max="25" width="12.5546875" customWidth="1"/>
    <col min="26" max="26" width="26.88671875" bestFit="1" customWidth="1"/>
    <col min="27" max="27" width="12.33203125" bestFit="1" customWidth="1"/>
    <col min="28" max="28" width="11.109375" bestFit="1" customWidth="1"/>
    <col min="29" max="29" width="17.44140625" bestFit="1" customWidth="1"/>
    <col min="30" max="30" width="20.77734375" bestFit="1" customWidth="1"/>
    <col min="31" max="31" width="25.109375" bestFit="1" customWidth="1"/>
  </cols>
  <sheetData>
    <row r="1" spans="1:8" x14ac:dyDescent="0.3">
      <c r="F1" s="19" t="s">
        <v>69</v>
      </c>
    </row>
    <row r="2" spans="1:8" ht="15.6" x14ac:dyDescent="0.3">
      <c r="C2" s="89" t="s">
        <v>272</v>
      </c>
      <c r="D2" s="84"/>
      <c r="F2" s="80" t="s">
        <v>225</v>
      </c>
    </row>
    <row r="3" spans="1:8" x14ac:dyDescent="0.3">
      <c r="A3" s="74"/>
      <c r="C3" s="4" t="s">
        <v>106</v>
      </c>
      <c r="D3" s="25" t="s">
        <v>226</v>
      </c>
    </row>
    <row r="4" spans="1:8" x14ac:dyDescent="0.3">
      <c r="A4" s="74"/>
      <c r="C4" t="s">
        <v>0</v>
      </c>
      <c r="D4" s="1" t="s">
        <v>1</v>
      </c>
      <c r="F4" s="20" t="s">
        <v>0</v>
      </c>
      <c r="G4" s="21" t="s">
        <v>70</v>
      </c>
      <c r="H4" s="22" t="s">
        <v>71</v>
      </c>
    </row>
    <row r="5" spans="1:8" x14ac:dyDescent="0.3">
      <c r="C5" s="85" t="s">
        <v>227</v>
      </c>
      <c r="D5" s="86" t="s">
        <v>74</v>
      </c>
      <c r="F5" s="23" t="s">
        <v>72</v>
      </c>
      <c r="G5" s="24">
        <v>2208</v>
      </c>
      <c r="H5" s="24"/>
    </row>
    <row r="6" spans="1:8" x14ac:dyDescent="0.3">
      <c r="C6" s="85"/>
      <c r="D6" s="86"/>
    </row>
    <row r="8" spans="1:8" x14ac:dyDescent="0.3">
      <c r="B8" t="s">
        <v>68</v>
      </c>
      <c r="C8" t="s">
        <v>239</v>
      </c>
      <c r="D8" t="s">
        <v>243</v>
      </c>
      <c r="E8" t="s">
        <v>242</v>
      </c>
      <c r="F8" t="s">
        <v>244</v>
      </c>
      <c r="G8" t="s">
        <v>247</v>
      </c>
    </row>
    <row r="9" spans="1:8" x14ac:dyDescent="0.3">
      <c r="B9" s="82"/>
      <c r="C9" s="82" t="s">
        <v>240</v>
      </c>
      <c r="D9" s="82" t="s">
        <v>74</v>
      </c>
      <c r="E9" s="82"/>
      <c r="F9" s="82"/>
      <c r="G9" s="82" t="s">
        <v>241</v>
      </c>
    </row>
    <row r="10" spans="1:8" ht="94.05" customHeight="1" x14ac:dyDescent="0.3">
      <c r="B10" s="82" t="s">
        <v>149</v>
      </c>
      <c r="C10" s="82" t="s">
        <v>245</v>
      </c>
      <c r="D10" s="82" t="s">
        <v>74</v>
      </c>
      <c r="E10" s="83" t="s">
        <v>248</v>
      </c>
      <c r="F10" s="82" t="s">
        <v>74</v>
      </c>
      <c r="G10" s="82" t="s">
        <v>246</v>
      </c>
    </row>
    <row r="11" spans="1:8" x14ac:dyDescent="0.3">
      <c r="B11" s="82"/>
      <c r="C11" s="82"/>
      <c r="D11" s="82"/>
      <c r="E11" s="82"/>
      <c r="F11" s="82"/>
      <c r="G11" s="82"/>
    </row>
    <row r="12" spans="1:8" ht="14.4" customHeight="1" x14ac:dyDescent="0.3">
      <c r="B12" s="82"/>
      <c r="C12" s="82"/>
      <c r="D12" s="82"/>
      <c r="E12" s="83"/>
      <c r="F12" s="82"/>
      <c r="G12" s="82"/>
    </row>
    <row r="13" spans="1:8" x14ac:dyDescent="0.3">
      <c r="B13" s="82"/>
      <c r="C13" t="s">
        <v>249</v>
      </c>
      <c r="D13" t="s">
        <v>88</v>
      </c>
      <c r="E13" s="83"/>
      <c r="F13" s="82"/>
      <c r="G13" s="82"/>
    </row>
    <row r="14" spans="1:8" x14ac:dyDescent="0.3">
      <c r="C14" s="81" t="s">
        <v>250</v>
      </c>
      <c r="D14" s="81" t="s">
        <v>74</v>
      </c>
    </row>
    <row r="15" spans="1:8" x14ac:dyDescent="0.3">
      <c r="C15" s="81"/>
      <c r="D15" s="81"/>
    </row>
    <row r="16" spans="1:8" x14ac:dyDescent="0.3">
      <c r="C16" s="81"/>
      <c r="D16" s="81"/>
    </row>
    <row r="17" spans="2:31" x14ac:dyDescent="0.3">
      <c r="B17" t="s">
        <v>68</v>
      </c>
      <c r="C17" t="s">
        <v>251</v>
      </c>
      <c r="D17" t="s">
        <v>255</v>
      </c>
      <c r="E17" t="s">
        <v>254</v>
      </c>
      <c r="F17" t="s">
        <v>228</v>
      </c>
      <c r="G17" t="s">
        <v>253</v>
      </c>
      <c r="H17" t="s">
        <v>257</v>
      </c>
      <c r="I17" t="s">
        <v>104</v>
      </c>
      <c r="J17" t="s">
        <v>108</v>
      </c>
      <c r="K17" t="s">
        <v>260</v>
      </c>
      <c r="L17" t="s">
        <v>262</v>
      </c>
      <c r="M17" t="s">
        <v>263</v>
      </c>
      <c r="N17" t="s">
        <v>264</v>
      </c>
      <c r="O17" t="s">
        <v>265</v>
      </c>
    </row>
    <row r="18" spans="2:31" x14ac:dyDescent="0.3">
      <c r="B18" s="81" t="s">
        <v>183</v>
      </c>
      <c r="C18" s="81" t="s">
        <v>271</v>
      </c>
      <c r="D18" s="81" t="s">
        <v>74</v>
      </c>
      <c r="E18" s="81" t="s">
        <v>252</v>
      </c>
      <c r="F18" s="81" t="s">
        <v>74</v>
      </c>
      <c r="G18" s="81" t="s">
        <v>256</v>
      </c>
      <c r="H18" s="81" t="s">
        <v>258</v>
      </c>
      <c r="I18" s="81" t="s">
        <v>258</v>
      </c>
      <c r="J18" s="81" t="s">
        <v>259</v>
      </c>
      <c r="K18">
        <v>8010</v>
      </c>
      <c r="L18" s="81" t="s">
        <v>261</v>
      </c>
      <c r="M18">
        <v>30</v>
      </c>
      <c r="N18">
        <v>2</v>
      </c>
      <c r="O18">
        <v>0.95</v>
      </c>
    </row>
    <row r="19" spans="2:31" x14ac:dyDescent="0.3">
      <c r="B19" s="81" t="s">
        <v>135</v>
      </c>
      <c r="C19" s="81" t="s">
        <v>266</v>
      </c>
      <c r="D19" s="81" t="s">
        <v>74</v>
      </c>
      <c r="E19" s="81"/>
      <c r="F19" s="81"/>
      <c r="G19" s="81"/>
      <c r="H19" s="81"/>
      <c r="I19" s="81"/>
      <c r="J19" s="81" t="s">
        <v>267</v>
      </c>
      <c r="K19">
        <v>294.05</v>
      </c>
      <c r="L19" s="81" t="s">
        <v>32</v>
      </c>
      <c r="M19" s="87">
        <v>0.5</v>
      </c>
      <c r="N19">
        <v>2</v>
      </c>
      <c r="O19">
        <v>0.95</v>
      </c>
    </row>
    <row r="20" spans="2:31" x14ac:dyDescent="0.3">
      <c r="B20" s="81" t="s">
        <v>169</v>
      </c>
      <c r="C20" s="81" t="s">
        <v>268</v>
      </c>
      <c r="D20" s="81" t="s">
        <v>74</v>
      </c>
      <c r="E20" s="81"/>
      <c r="F20" s="81"/>
      <c r="G20" s="81"/>
      <c r="H20" s="81"/>
      <c r="I20" s="81"/>
      <c r="J20" s="81" t="s">
        <v>267</v>
      </c>
      <c r="K20">
        <v>1.1635</v>
      </c>
      <c r="L20" s="81" t="s">
        <v>261</v>
      </c>
      <c r="M20">
        <v>3.5000000000000001E-3</v>
      </c>
      <c r="N20">
        <v>2</v>
      </c>
      <c r="O20">
        <v>0.95</v>
      </c>
    </row>
    <row r="21" spans="2:31" x14ac:dyDescent="0.3">
      <c r="B21" s="81" t="s">
        <v>269</v>
      </c>
      <c r="C21" s="81" t="s">
        <v>270</v>
      </c>
      <c r="D21" s="81" t="s">
        <v>74</v>
      </c>
      <c r="E21" s="81"/>
      <c r="F21" s="81"/>
      <c r="G21" s="81"/>
      <c r="H21" s="81"/>
      <c r="I21" s="81"/>
      <c r="J21" s="81" t="s">
        <v>267</v>
      </c>
      <c r="K21">
        <v>0.41699999999999998</v>
      </c>
      <c r="L21" s="81" t="s">
        <v>139</v>
      </c>
      <c r="M21">
        <v>0.02</v>
      </c>
      <c r="N21">
        <v>2</v>
      </c>
      <c r="O21">
        <v>0.95</v>
      </c>
    </row>
    <row r="24" spans="2:31" x14ac:dyDescent="0.3">
      <c r="B24" t="s">
        <v>275</v>
      </c>
      <c r="C24" t="s">
        <v>273</v>
      </c>
      <c r="D24" t="s">
        <v>88</v>
      </c>
      <c r="E24" t="s">
        <v>278</v>
      </c>
      <c r="F24" t="s">
        <v>276</v>
      </c>
      <c r="G24" t="s">
        <v>277</v>
      </c>
      <c r="H24" t="s">
        <v>104</v>
      </c>
      <c r="I24" t="s">
        <v>262</v>
      </c>
      <c r="J24" t="s">
        <v>279</v>
      </c>
      <c r="K24" t="s">
        <v>281</v>
      </c>
      <c r="L24" t="s">
        <v>282</v>
      </c>
      <c r="M24" t="s">
        <v>283</v>
      </c>
      <c r="N24" t="s">
        <v>264</v>
      </c>
      <c r="O24" t="s">
        <v>265</v>
      </c>
      <c r="P24" t="s">
        <v>284</v>
      </c>
      <c r="Q24" t="s">
        <v>285</v>
      </c>
      <c r="R24" t="s">
        <v>247</v>
      </c>
      <c r="S24" t="s">
        <v>121</v>
      </c>
      <c r="T24" t="s">
        <v>286</v>
      </c>
      <c r="U24" t="s">
        <v>230</v>
      </c>
      <c r="V24" t="s">
        <v>231</v>
      </c>
      <c r="W24" t="s">
        <v>287</v>
      </c>
      <c r="X24" t="s">
        <v>232</v>
      </c>
      <c r="Y24" t="s">
        <v>233</v>
      </c>
      <c r="Z24" t="s">
        <v>288</v>
      </c>
      <c r="AA24" t="s">
        <v>234</v>
      </c>
      <c r="AB24" t="s">
        <v>235</v>
      </c>
      <c r="AC24" t="s">
        <v>236</v>
      </c>
      <c r="AD24" t="s">
        <v>237</v>
      </c>
      <c r="AE24" t="s">
        <v>238</v>
      </c>
    </row>
    <row r="25" spans="2:31" x14ac:dyDescent="0.3">
      <c r="B25" s="81" t="s">
        <v>229</v>
      </c>
      <c r="C25" s="81" t="s">
        <v>274</v>
      </c>
      <c r="D25" s="81" t="s">
        <v>74</v>
      </c>
      <c r="E25" s="81" t="s">
        <v>291</v>
      </c>
      <c r="F25" s="81" t="s">
        <v>292</v>
      </c>
      <c r="G25" s="81" t="s">
        <v>74</v>
      </c>
      <c r="H25">
        <v>2</v>
      </c>
      <c r="I25" s="81" t="s">
        <v>35</v>
      </c>
      <c r="J25" s="81" t="s">
        <v>280</v>
      </c>
      <c r="K25">
        <v>2.0000002000000001</v>
      </c>
      <c r="L25" s="81" t="s">
        <v>35</v>
      </c>
      <c r="M25">
        <v>5.3000000000000001E-7</v>
      </c>
      <c r="N25">
        <v>2</v>
      </c>
      <c r="O25">
        <v>0.95</v>
      </c>
      <c r="P25" s="81" t="s">
        <v>293</v>
      </c>
      <c r="Q25" s="81" t="s">
        <v>294</v>
      </c>
      <c r="R25" s="81" t="s">
        <v>241</v>
      </c>
      <c r="S25" s="81" t="s">
        <v>122</v>
      </c>
      <c r="T25" s="81" t="s">
        <v>295</v>
      </c>
      <c r="U25">
        <v>1.999997</v>
      </c>
      <c r="V25" s="81" t="s">
        <v>35</v>
      </c>
      <c r="W25" s="81" t="s">
        <v>296</v>
      </c>
      <c r="X25">
        <v>2.000003</v>
      </c>
      <c r="Y25" s="81" t="s">
        <v>35</v>
      </c>
      <c r="Z25" s="81" t="s">
        <v>297</v>
      </c>
      <c r="AA25">
        <v>1.9999999999999999E-7</v>
      </c>
      <c r="AB25" s="81" t="s">
        <v>35</v>
      </c>
      <c r="AC25">
        <v>5.3000000000000001E-7</v>
      </c>
      <c r="AD25">
        <v>2</v>
      </c>
      <c r="AE25">
        <v>0.95</v>
      </c>
    </row>
    <row r="28" spans="2:31" x14ac:dyDescent="0.3">
      <c r="C28" s="89" t="s">
        <v>272</v>
      </c>
      <c r="D28" s="84"/>
    </row>
    <row r="29" spans="2:31" x14ac:dyDescent="0.3">
      <c r="C29" s="4" t="s">
        <v>106</v>
      </c>
      <c r="D29" s="25" t="s">
        <v>289</v>
      </c>
    </row>
    <row r="30" spans="2:31" x14ac:dyDescent="0.3">
      <c r="C30" t="s">
        <v>0</v>
      </c>
      <c r="D30" s="1" t="s">
        <v>1</v>
      </c>
    </row>
    <row r="31" spans="2:31" x14ac:dyDescent="0.3">
      <c r="C31" s="85" t="s">
        <v>290</v>
      </c>
      <c r="D31" s="86" t="s">
        <v>74</v>
      </c>
    </row>
    <row r="34" spans="2:15" x14ac:dyDescent="0.3">
      <c r="B34" t="s">
        <v>68</v>
      </c>
      <c r="C34" t="s">
        <v>239</v>
      </c>
      <c r="D34" t="s">
        <v>243</v>
      </c>
      <c r="E34" t="s">
        <v>242</v>
      </c>
      <c r="F34" t="s">
        <v>244</v>
      </c>
      <c r="G34" t="s">
        <v>247</v>
      </c>
    </row>
    <row r="35" spans="2:15" x14ac:dyDescent="0.3">
      <c r="B35" s="82"/>
      <c r="C35" s="82" t="s">
        <v>240</v>
      </c>
      <c r="D35" s="82" t="s">
        <v>74</v>
      </c>
      <c r="E35" s="82"/>
      <c r="F35" s="82"/>
      <c r="G35" s="82" t="s">
        <v>241</v>
      </c>
    </row>
    <row r="36" spans="2:15" ht="94.05" customHeight="1" x14ac:dyDescent="0.3">
      <c r="B36" s="82" t="s">
        <v>149</v>
      </c>
      <c r="C36" s="82" t="s">
        <v>245</v>
      </c>
      <c r="D36" s="82" t="s">
        <v>74</v>
      </c>
      <c r="E36" s="83" t="s">
        <v>248</v>
      </c>
      <c r="F36" s="82" t="s">
        <v>74</v>
      </c>
      <c r="G36" s="82" t="s">
        <v>246</v>
      </c>
    </row>
    <row r="37" spans="2:15" x14ac:dyDescent="0.3">
      <c r="B37" s="82"/>
      <c r="C37" s="82"/>
      <c r="D37" s="82"/>
      <c r="E37" s="82"/>
      <c r="F37" s="82"/>
      <c r="G37" s="82"/>
    </row>
    <row r="38" spans="2:15" x14ac:dyDescent="0.3">
      <c r="B38" s="82"/>
      <c r="C38" s="82"/>
      <c r="D38" s="82"/>
      <c r="E38" s="83"/>
      <c r="F38" s="82"/>
      <c r="G38" s="82"/>
    </row>
    <row r="39" spans="2:15" x14ac:dyDescent="0.3">
      <c r="B39" s="82"/>
      <c r="C39" t="s">
        <v>249</v>
      </c>
      <c r="D39" t="s">
        <v>88</v>
      </c>
      <c r="E39" s="83"/>
      <c r="F39" s="82"/>
      <c r="G39" s="82"/>
    </row>
    <row r="40" spans="2:15" x14ac:dyDescent="0.3">
      <c r="C40" s="81" t="s">
        <v>250</v>
      </c>
      <c r="D40" s="81" t="s">
        <v>74</v>
      </c>
    </row>
    <row r="41" spans="2:15" x14ac:dyDescent="0.3">
      <c r="C41" s="81"/>
      <c r="D41" s="81"/>
    </row>
    <row r="42" spans="2:15" x14ac:dyDescent="0.3">
      <c r="C42" s="81"/>
      <c r="D42" s="81"/>
    </row>
    <row r="43" spans="2:15" x14ac:dyDescent="0.3">
      <c r="B43" t="s">
        <v>68</v>
      </c>
      <c r="C43" t="s">
        <v>251</v>
      </c>
      <c r="D43" t="s">
        <v>255</v>
      </c>
      <c r="E43" t="s">
        <v>254</v>
      </c>
      <c r="F43" t="s">
        <v>228</v>
      </c>
      <c r="G43" t="s">
        <v>253</v>
      </c>
      <c r="H43" t="s">
        <v>257</v>
      </c>
      <c r="I43" t="s">
        <v>104</v>
      </c>
      <c r="J43" t="s">
        <v>108</v>
      </c>
      <c r="K43" t="s">
        <v>260</v>
      </c>
      <c r="L43" t="s">
        <v>262</v>
      </c>
      <c r="M43" t="s">
        <v>263</v>
      </c>
      <c r="N43" t="s">
        <v>264</v>
      </c>
      <c r="O43" t="s">
        <v>265</v>
      </c>
    </row>
    <row r="44" spans="2:15" x14ac:dyDescent="0.3">
      <c r="B44" s="81" t="s">
        <v>183</v>
      </c>
      <c r="C44" s="81" t="s">
        <v>271</v>
      </c>
      <c r="D44" s="81" t="s">
        <v>74</v>
      </c>
      <c r="E44" s="81" t="s">
        <v>252</v>
      </c>
      <c r="F44" s="81" t="s">
        <v>74</v>
      </c>
      <c r="G44" s="81" t="s">
        <v>256</v>
      </c>
      <c r="H44" s="81" t="s">
        <v>258</v>
      </c>
      <c r="I44" s="81" t="s">
        <v>258</v>
      </c>
      <c r="J44" s="81" t="s">
        <v>259</v>
      </c>
      <c r="K44">
        <v>8010</v>
      </c>
      <c r="L44" s="81" t="s">
        <v>261</v>
      </c>
      <c r="M44">
        <v>30</v>
      </c>
      <c r="N44">
        <v>2</v>
      </c>
      <c r="O44">
        <v>0.95</v>
      </c>
    </row>
    <row r="45" spans="2:15" x14ac:dyDescent="0.3">
      <c r="B45" s="81" t="s">
        <v>135</v>
      </c>
      <c r="C45" s="81" t="s">
        <v>266</v>
      </c>
      <c r="D45" s="81" t="s">
        <v>74</v>
      </c>
      <c r="E45" s="81"/>
      <c r="F45" s="81"/>
      <c r="G45" s="81"/>
      <c r="H45" s="81"/>
      <c r="I45" s="81"/>
      <c r="J45" s="81" t="s">
        <v>267</v>
      </c>
      <c r="K45">
        <v>294.05</v>
      </c>
      <c r="L45" s="81" t="s">
        <v>32</v>
      </c>
      <c r="M45" s="87">
        <v>0.5</v>
      </c>
      <c r="N45">
        <v>2</v>
      </c>
      <c r="O45">
        <v>0.95</v>
      </c>
    </row>
    <row r="46" spans="2:15" x14ac:dyDescent="0.3">
      <c r="B46" s="81" t="s">
        <v>169</v>
      </c>
      <c r="C46" s="81" t="s">
        <v>268</v>
      </c>
      <c r="D46" s="81" t="s">
        <v>74</v>
      </c>
      <c r="E46" s="81"/>
      <c r="F46" s="81"/>
      <c r="G46" s="81"/>
      <c r="H46" s="81"/>
      <c r="I46" s="81"/>
      <c r="J46" s="81" t="s">
        <v>267</v>
      </c>
      <c r="K46">
        <v>1.1635</v>
      </c>
      <c r="L46" s="81" t="s">
        <v>261</v>
      </c>
      <c r="M46">
        <v>3.5000000000000001E-3</v>
      </c>
      <c r="N46">
        <v>2</v>
      </c>
      <c r="O46">
        <v>0.95</v>
      </c>
    </row>
    <row r="47" spans="2:15" x14ac:dyDescent="0.3">
      <c r="B47" s="81" t="s">
        <v>269</v>
      </c>
      <c r="C47" s="81" t="s">
        <v>270</v>
      </c>
      <c r="D47" s="81" t="s">
        <v>74</v>
      </c>
      <c r="E47" s="81"/>
      <c r="F47" s="81"/>
      <c r="G47" s="81"/>
      <c r="H47" s="81"/>
      <c r="I47" s="81"/>
      <c r="J47" s="81" t="s">
        <v>267</v>
      </c>
      <c r="K47">
        <v>0.41699999999999998</v>
      </c>
      <c r="L47" s="81" t="s">
        <v>139</v>
      </c>
      <c r="M47">
        <v>0.02</v>
      </c>
      <c r="N47">
        <v>2</v>
      </c>
      <c r="O47">
        <v>0.95</v>
      </c>
    </row>
    <row r="50" spans="2:31" x14ac:dyDescent="0.3">
      <c r="B50" t="s">
        <v>275</v>
      </c>
      <c r="C50" t="s">
        <v>273</v>
      </c>
      <c r="D50" t="s">
        <v>88</v>
      </c>
      <c r="E50" t="s">
        <v>278</v>
      </c>
      <c r="F50" t="s">
        <v>276</v>
      </c>
      <c r="G50" t="s">
        <v>277</v>
      </c>
      <c r="H50" t="s">
        <v>104</v>
      </c>
      <c r="I50" t="s">
        <v>262</v>
      </c>
      <c r="J50" t="s">
        <v>279</v>
      </c>
      <c r="K50" t="s">
        <v>281</v>
      </c>
      <c r="L50" t="s">
        <v>282</v>
      </c>
      <c r="M50" t="s">
        <v>283</v>
      </c>
      <c r="N50" t="s">
        <v>264</v>
      </c>
      <c r="O50" t="s">
        <v>265</v>
      </c>
      <c r="P50" t="s">
        <v>284</v>
      </c>
      <c r="Q50" t="s">
        <v>285</v>
      </c>
      <c r="R50" t="s">
        <v>247</v>
      </c>
      <c r="S50" t="s">
        <v>121</v>
      </c>
      <c r="T50" t="s">
        <v>286</v>
      </c>
      <c r="U50" t="s">
        <v>230</v>
      </c>
      <c r="V50" t="s">
        <v>231</v>
      </c>
      <c r="W50" t="s">
        <v>287</v>
      </c>
      <c r="X50" t="s">
        <v>232</v>
      </c>
      <c r="Y50" t="s">
        <v>233</v>
      </c>
      <c r="Z50" t="s">
        <v>288</v>
      </c>
      <c r="AA50" t="s">
        <v>234</v>
      </c>
      <c r="AB50" t="s">
        <v>235</v>
      </c>
      <c r="AC50" t="s">
        <v>236</v>
      </c>
      <c r="AD50" t="s">
        <v>237</v>
      </c>
      <c r="AE50" t="s">
        <v>238</v>
      </c>
    </row>
    <row r="51" spans="2:31" x14ac:dyDescent="0.3">
      <c r="B51" t="s">
        <v>229</v>
      </c>
      <c r="C51" s="81" t="s">
        <v>274</v>
      </c>
      <c r="D51" s="81" t="s">
        <v>74</v>
      </c>
      <c r="E51" s="81" t="s">
        <v>291</v>
      </c>
      <c r="F51" s="81" t="s">
        <v>292</v>
      </c>
      <c r="G51" s="81" t="s">
        <v>74</v>
      </c>
      <c r="H51">
        <v>1</v>
      </c>
      <c r="I51" s="81" t="s">
        <v>35</v>
      </c>
      <c r="J51" s="81" t="s">
        <v>280</v>
      </c>
      <c r="K51">
        <v>1.0000001199999999</v>
      </c>
      <c r="L51" s="81" t="s">
        <v>35</v>
      </c>
      <c r="M51" s="88">
        <v>2.9999999999999999E-7</v>
      </c>
      <c r="N51">
        <v>2</v>
      </c>
      <c r="O51">
        <v>0.95</v>
      </c>
      <c r="P51" s="81" t="s">
        <v>293</v>
      </c>
      <c r="Q51" s="81" t="s">
        <v>294</v>
      </c>
      <c r="R51" s="81" t="s">
        <v>241</v>
      </c>
      <c r="S51" s="81" t="s">
        <v>122</v>
      </c>
      <c r="T51" s="81" t="s">
        <v>295</v>
      </c>
      <c r="U51">
        <v>0.99999839999999995</v>
      </c>
      <c r="V51" s="81" t="s">
        <v>35</v>
      </c>
      <c r="W51" s="81" t="s">
        <v>296</v>
      </c>
      <c r="X51">
        <v>1.0000016</v>
      </c>
      <c r="Y51" s="81" t="s">
        <v>35</v>
      </c>
      <c r="Z51" s="81" t="s">
        <v>297</v>
      </c>
      <c r="AA51">
        <v>9.9999999999999995E-8</v>
      </c>
      <c r="AB51" s="81" t="s">
        <v>35</v>
      </c>
      <c r="AC51">
        <v>5.3000000000000001E-7</v>
      </c>
      <c r="AD51">
        <v>2</v>
      </c>
      <c r="AE51">
        <v>0.95</v>
      </c>
    </row>
    <row r="65" spans="2:28" x14ac:dyDescent="0.3">
      <c r="B65" s="81"/>
      <c r="C65" s="81"/>
      <c r="D65" s="81"/>
      <c r="E65" s="81"/>
      <c r="F65" s="81"/>
      <c r="G65" s="81"/>
      <c r="H65" s="81"/>
      <c r="I65" s="81"/>
      <c r="J65" s="81"/>
      <c r="L65" s="81"/>
    </row>
    <row r="66" spans="2:28" x14ac:dyDescent="0.3">
      <c r="B66" s="81"/>
      <c r="C66" s="81"/>
      <c r="D66" s="81"/>
      <c r="E66" s="81"/>
      <c r="F66" s="81"/>
      <c r="G66" s="81"/>
      <c r="H66" s="81"/>
      <c r="I66" s="81"/>
      <c r="J66" s="81"/>
      <c r="L66" s="81"/>
      <c r="M66" s="87"/>
    </row>
    <row r="67" spans="2:28" x14ac:dyDescent="0.3">
      <c r="B67" s="81"/>
      <c r="C67" s="81"/>
      <c r="D67" s="81"/>
      <c r="E67" s="81"/>
      <c r="F67" s="81"/>
      <c r="G67" s="81"/>
      <c r="H67" s="81"/>
      <c r="I67" s="81"/>
      <c r="J67" s="81"/>
      <c r="L67" s="81"/>
    </row>
    <row r="68" spans="2:28" x14ac:dyDescent="0.3">
      <c r="B68" s="81"/>
      <c r="C68" s="81"/>
      <c r="D68" s="81"/>
      <c r="E68" s="81"/>
      <c r="F68" s="81"/>
      <c r="G68" s="81"/>
      <c r="H68" s="81"/>
      <c r="I68" s="81"/>
      <c r="J68" s="81"/>
      <c r="L68" s="81"/>
    </row>
    <row r="74" spans="2:28" x14ac:dyDescent="0.3">
      <c r="B74" s="81"/>
      <c r="C74" s="81"/>
      <c r="D74" s="81"/>
      <c r="E74" s="81"/>
      <c r="F74" s="81"/>
      <c r="G74" s="81"/>
      <c r="I74" s="81"/>
      <c r="J74" s="81"/>
      <c r="L74" s="81"/>
      <c r="M74" s="88"/>
      <c r="P74" s="81"/>
      <c r="Q74" s="81"/>
      <c r="R74" s="81"/>
      <c r="S74" s="81"/>
      <c r="T74" s="81"/>
      <c r="V74" s="81"/>
      <c r="W74" s="81"/>
      <c r="Y74" s="81"/>
      <c r="Z74" s="81"/>
      <c r="AB74" s="81"/>
    </row>
  </sheetData>
  <phoneticPr fontId="28" type="noConversion"/>
  <pageMargins left="0.7" right="0.7" top="0.75" bottom="0.75" header="0.3" footer="0.3"/>
  <pageSetup paperSize="9" orientation="portrait" r:id="rId1"/>
  <tableParts count="11">
    <tablePart r:id="rId2"/>
    <tablePart r:id="rId3"/>
    <tablePart r:id="rId4"/>
    <tablePart r:id="rId5"/>
    <tablePart r:id="rId6"/>
    <tablePart r:id="rId7"/>
    <tablePart r:id="rId8"/>
    <tablePart r:id="rId9"/>
    <tablePart r:id="rId10"/>
    <tablePart r:id="rId11"/>
    <tablePart r:id="rId12"/>
  </tableParts>
</worksheet>
</file>

<file path=xl/worksheets/sheet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Hoja1"/>
  <dimension ref="A1:R95"/>
  <sheetViews>
    <sheetView zoomScaleNormal="100" workbookViewId="0">
      <selection activeCell="M18" sqref="M18"/>
    </sheetView>
  </sheetViews>
  <sheetFormatPr defaultColWidth="11.44140625" defaultRowHeight="14.4" x14ac:dyDescent="0.3"/>
  <cols>
    <col min="2" max="2" width="18.6640625" bestFit="1" customWidth="1"/>
    <col min="4" max="4" width="15.33203125" customWidth="1"/>
    <col min="5" max="5" width="14.33203125" bestFit="1" customWidth="1"/>
    <col min="6" max="7" width="12.6640625" customWidth="1"/>
    <col min="8" max="8" width="13.33203125" bestFit="1" customWidth="1"/>
    <col min="9" max="9" width="14.33203125" bestFit="1" customWidth="1"/>
    <col min="12" max="12" width="18.6640625" bestFit="1" customWidth="1"/>
    <col min="13" max="13" width="12" bestFit="1" customWidth="1"/>
    <col min="14" max="14" width="9.5546875" bestFit="1" customWidth="1"/>
    <col min="15" max="15" width="18.109375" customWidth="1"/>
  </cols>
  <sheetData>
    <row r="1" spans="1:18" x14ac:dyDescent="0.3">
      <c r="D1" s="154"/>
      <c r="E1" s="154"/>
      <c r="F1" s="154"/>
      <c r="G1" s="154"/>
      <c r="H1" s="154"/>
      <c r="I1" s="154"/>
      <c r="J1" s="154"/>
      <c r="K1" s="154"/>
      <c r="L1" s="154"/>
      <c r="M1" s="154"/>
      <c r="N1" s="154"/>
      <c r="Q1" s="154" t="s">
        <v>2</v>
      </c>
      <c r="R1" s="154"/>
    </row>
    <row r="2" spans="1:18" ht="15" thickBot="1" x14ac:dyDescent="0.35">
      <c r="B2" t="s">
        <v>84</v>
      </c>
      <c r="D2" s="1" t="s">
        <v>85</v>
      </c>
      <c r="E2" s="1" t="s">
        <v>4</v>
      </c>
      <c r="F2" s="1" t="s">
        <v>140</v>
      </c>
      <c r="G2" s="1" t="s">
        <v>128</v>
      </c>
      <c r="H2" s="1" t="s">
        <v>129</v>
      </c>
      <c r="I2" s="1" t="s">
        <v>141</v>
      </c>
      <c r="K2" s="14" t="s">
        <v>107</v>
      </c>
      <c r="L2" s="14" t="s">
        <v>134</v>
      </c>
      <c r="M2" s="11"/>
      <c r="N2" t="s">
        <v>86</v>
      </c>
      <c r="O2" t="s">
        <v>82</v>
      </c>
      <c r="Q2" t="s">
        <v>5</v>
      </c>
      <c r="R2" t="s">
        <v>142</v>
      </c>
    </row>
    <row r="3" spans="1:18" x14ac:dyDescent="0.3">
      <c r="B3" t="s">
        <v>130</v>
      </c>
      <c r="D3" t="s">
        <v>20</v>
      </c>
      <c r="E3" t="s">
        <v>8</v>
      </c>
      <c r="F3" t="s">
        <v>351</v>
      </c>
      <c r="G3" s="12" t="s">
        <v>21</v>
      </c>
      <c r="K3" s="15" t="s">
        <v>223</v>
      </c>
      <c r="N3" t="s">
        <v>140</v>
      </c>
      <c r="O3" t="s">
        <v>342</v>
      </c>
      <c r="Q3" t="s">
        <v>9</v>
      </c>
      <c r="R3" s="2">
        <v>9.9999999999999998E+23</v>
      </c>
    </row>
    <row r="4" spans="1:18" x14ac:dyDescent="0.3">
      <c r="B4" t="s">
        <v>131</v>
      </c>
      <c r="D4" t="s">
        <v>26</v>
      </c>
      <c r="E4" t="s">
        <v>16</v>
      </c>
      <c r="F4" t="s">
        <v>12</v>
      </c>
      <c r="G4" s="12" t="s">
        <v>27</v>
      </c>
      <c r="K4" t="s">
        <v>339</v>
      </c>
      <c r="L4" t="s">
        <v>7</v>
      </c>
      <c r="O4" t="s">
        <v>339</v>
      </c>
      <c r="Q4" t="s">
        <v>13</v>
      </c>
      <c r="R4" s="2">
        <v>1E+21</v>
      </c>
    </row>
    <row r="5" spans="1:18" x14ac:dyDescent="0.3">
      <c r="B5" t="s">
        <v>140</v>
      </c>
      <c r="D5" t="s">
        <v>31</v>
      </c>
      <c r="E5" t="s">
        <v>328</v>
      </c>
      <c r="F5" t="s">
        <v>17</v>
      </c>
      <c r="G5" s="12" t="s">
        <v>32</v>
      </c>
      <c r="H5" t="s">
        <v>87</v>
      </c>
      <c r="K5" s="15" t="s">
        <v>340</v>
      </c>
      <c r="L5" t="s">
        <v>221</v>
      </c>
      <c r="Q5" t="s">
        <v>18</v>
      </c>
      <c r="R5" s="2">
        <v>1E+18</v>
      </c>
    </row>
    <row r="6" spans="1:18" x14ac:dyDescent="0.3">
      <c r="D6" t="s">
        <v>342</v>
      </c>
      <c r="E6" t="s">
        <v>271</v>
      </c>
      <c r="F6" t="s">
        <v>23</v>
      </c>
      <c r="G6" s="12" t="s">
        <v>35</v>
      </c>
      <c r="H6" t="s">
        <v>261</v>
      </c>
      <c r="K6" t="s">
        <v>341</v>
      </c>
      <c r="L6" t="s">
        <v>15</v>
      </c>
      <c r="Q6" t="s">
        <v>24</v>
      </c>
      <c r="R6" s="2">
        <v>1000000000000000</v>
      </c>
    </row>
    <row r="7" spans="1:18" x14ac:dyDescent="0.3">
      <c r="D7" t="s">
        <v>339</v>
      </c>
      <c r="E7" t="s">
        <v>22</v>
      </c>
      <c r="F7" t="s">
        <v>29</v>
      </c>
      <c r="G7" s="12" t="s">
        <v>7</v>
      </c>
      <c r="K7" s="15" t="s">
        <v>20</v>
      </c>
      <c r="L7" t="s">
        <v>21</v>
      </c>
      <c r="Q7" t="s">
        <v>30</v>
      </c>
      <c r="R7" s="2">
        <v>1000000000000</v>
      </c>
    </row>
    <row r="8" spans="1:18" x14ac:dyDescent="0.3">
      <c r="B8" t="s">
        <v>3</v>
      </c>
      <c r="D8" t="s">
        <v>340</v>
      </c>
      <c r="E8" t="s">
        <v>28</v>
      </c>
      <c r="F8" t="s">
        <v>343</v>
      </c>
      <c r="G8" s="12" t="s">
        <v>11</v>
      </c>
      <c r="K8" t="s">
        <v>26</v>
      </c>
      <c r="L8" t="s">
        <v>27</v>
      </c>
      <c r="N8" s="13" t="str" cm="1">
        <f t="array" aca="1" ref="N8" ca="1">_xlfn.XLOOKUP(O3,INDIRECT(N3),INDIRECT(N3&amp;"_Platino"),"No Existe")</f>
        <v>No Existe</v>
      </c>
      <c r="O8" s="76"/>
      <c r="Q8" t="s">
        <v>34</v>
      </c>
      <c r="R8" s="2">
        <v>1000000000</v>
      </c>
    </row>
    <row r="9" spans="1:18" x14ac:dyDescent="0.3">
      <c r="B9" t="s">
        <v>83</v>
      </c>
      <c r="D9" t="s">
        <v>341</v>
      </c>
      <c r="E9" t="s">
        <v>33</v>
      </c>
      <c r="F9" t="s">
        <v>37</v>
      </c>
      <c r="G9" s="12" t="s">
        <v>15</v>
      </c>
      <c r="K9" s="15" t="s">
        <v>31</v>
      </c>
      <c r="L9" t="s">
        <v>32</v>
      </c>
      <c r="N9" s="13" t="str">
        <f>IF(_xlfn.XLOOKUP(O4,Tabla5233[Unidades],Tabla5233[Platino],"No Existe")=0,"",_xlfn.XLOOKUP(O4,Tabla5233[Unidades],Tabla5233[Platino],"No Existe"))</f>
        <v>\metre</v>
      </c>
      <c r="O9" s="76"/>
      <c r="Q9" t="s">
        <v>38</v>
      </c>
      <c r="R9" s="2">
        <v>1000000</v>
      </c>
    </row>
    <row r="10" spans="1:18" x14ac:dyDescent="0.3">
      <c r="B10" t="s">
        <v>10</v>
      </c>
      <c r="E10" t="s">
        <v>36</v>
      </c>
      <c r="F10" t="s">
        <v>344</v>
      </c>
      <c r="G10" s="12"/>
      <c r="K10" t="s">
        <v>342</v>
      </c>
      <c r="L10" t="s">
        <v>35</v>
      </c>
      <c r="Q10" t="s">
        <v>40</v>
      </c>
      <c r="R10" s="2">
        <v>1000</v>
      </c>
    </row>
    <row r="11" spans="1:18" x14ac:dyDescent="0.3">
      <c r="A11" t="s">
        <v>143</v>
      </c>
      <c r="B11" t="s">
        <v>14</v>
      </c>
      <c r="E11" t="s">
        <v>39</v>
      </c>
      <c r="F11" t="s">
        <v>345</v>
      </c>
      <c r="G11" s="12"/>
      <c r="Q11" t="s">
        <v>42</v>
      </c>
      <c r="R11" s="2">
        <v>100</v>
      </c>
    </row>
    <row r="12" spans="1:18" x14ac:dyDescent="0.3">
      <c r="B12" t="s">
        <v>19</v>
      </c>
      <c r="E12" t="s">
        <v>41</v>
      </c>
      <c r="F12" t="s">
        <v>346</v>
      </c>
      <c r="G12" s="12"/>
      <c r="K12" s="79" t="s">
        <v>222</v>
      </c>
      <c r="Q12" t="s">
        <v>44</v>
      </c>
      <c r="R12" s="2">
        <v>10</v>
      </c>
    </row>
    <row r="13" spans="1:18" x14ac:dyDescent="0.3">
      <c r="B13" t="s">
        <v>25</v>
      </c>
      <c r="E13" t="s">
        <v>43</v>
      </c>
      <c r="F13" t="s">
        <v>347</v>
      </c>
      <c r="G13" s="12"/>
      <c r="K13" t="s">
        <v>8</v>
      </c>
      <c r="Q13" t="s">
        <v>46</v>
      </c>
      <c r="R13" s="2">
        <v>0.1</v>
      </c>
    </row>
    <row r="14" spans="1:18" x14ac:dyDescent="0.3">
      <c r="E14" t="s">
        <v>45</v>
      </c>
      <c r="F14" t="s">
        <v>348</v>
      </c>
      <c r="G14" s="12"/>
      <c r="K14" t="s">
        <v>16</v>
      </c>
      <c r="Q14" t="s">
        <v>48</v>
      </c>
      <c r="R14" s="2">
        <v>0.01</v>
      </c>
    </row>
    <row r="15" spans="1:18" x14ac:dyDescent="0.3">
      <c r="E15" t="s">
        <v>47</v>
      </c>
      <c r="F15" t="s">
        <v>52</v>
      </c>
      <c r="G15" s="12"/>
      <c r="H15" t="s">
        <v>105</v>
      </c>
      <c r="K15" t="s">
        <v>328</v>
      </c>
      <c r="L15" t="s">
        <v>87</v>
      </c>
      <c r="Q15" t="s">
        <v>50</v>
      </c>
      <c r="R15" s="2">
        <v>1E-3</v>
      </c>
    </row>
    <row r="16" spans="1:18" x14ac:dyDescent="0.3">
      <c r="B16" t="s">
        <v>89</v>
      </c>
      <c r="E16" t="s">
        <v>49</v>
      </c>
      <c r="F16" t="s">
        <v>350</v>
      </c>
      <c r="G16" s="12"/>
      <c r="H16" t="s">
        <v>132</v>
      </c>
      <c r="I16" t="s">
        <v>139</v>
      </c>
      <c r="K16" t="s">
        <v>271</v>
      </c>
      <c r="Q16" t="s">
        <v>53</v>
      </c>
      <c r="R16" s="2">
        <v>9.9999999999999995E-7</v>
      </c>
    </row>
    <row r="17" spans="2:18" x14ac:dyDescent="0.3">
      <c r="B17" t="s">
        <v>109</v>
      </c>
      <c r="E17" t="s">
        <v>51</v>
      </c>
      <c r="F17" t="s">
        <v>349</v>
      </c>
      <c r="G17" s="12"/>
      <c r="K17" t="s">
        <v>22</v>
      </c>
      <c r="Q17" t="s">
        <v>55</v>
      </c>
      <c r="R17" s="2">
        <v>1.0000000000000001E-9</v>
      </c>
    </row>
    <row r="18" spans="2:18" x14ac:dyDescent="0.3">
      <c r="B18" t="s">
        <v>110</v>
      </c>
      <c r="E18" t="s">
        <v>54</v>
      </c>
      <c r="F18" t="s">
        <v>352</v>
      </c>
      <c r="G18" s="12"/>
      <c r="K18" t="s">
        <v>28</v>
      </c>
      <c r="Q18" t="s">
        <v>57</v>
      </c>
      <c r="R18" s="2">
        <v>9.9999999999999998E-13</v>
      </c>
    </row>
    <row r="19" spans="2:18" x14ac:dyDescent="0.3">
      <c r="B19" t="s">
        <v>111</v>
      </c>
      <c r="E19" t="s">
        <v>56</v>
      </c>
      <c r="G19" s="12"/>
      <c r="K19" t="s">
        <v>33</v>
      </c>
      <c r="Q19" t="s">
        <v>59</v>
      </c>
      <c r="R19" s="2">
        <v>1.0000000000000001E-15</v>
      </c>
    </row>
    <row r="20" spans="2:18" x14ac:dyDescent="0.3">
      <c r="B20" t="s">
        <v>112</v>
      </c>
      <c r="E20" t="s">
        <v>58</v>
      </c>
      <c r="G20" s="12"/>
      <c r="K20" t="s">
        <v>36</v>
      </c>
      <c r="Q20" t="s">
        <v>61</v>
      </c>
      <c r="R20" s="2">
        <v>1.0000000000000001E-18</v>
      </c>
    </row>
    <row r="21" spans="2:18" x14ac:dyDescent="0.3">
      <c r="E21" t="s">
        <v>60</v>
      </c>
      <c r="G21" s="12"/>
      <c r="K21" t="s">
        <v>39</v>
      </c>
      <c r="Q21" t="s">
        <v>63</v>
      </c>
      <c r="R21" s="2">
        <v>9.9999999999999991E-22</v>
      </c>
    </row>
    <row r="22" spans="2:18" x14ac:dyDescent="0.3">
      <c r="E22" t="s">
        <v>62</v>
      </c>
      <c r="G22" s="12"/>
      <c r="K22" t="s">
        <v>41</v>
      </c>
      <c r="Q22" t="s">
        <v>65</v>
      </c>
      <c r="R22" s="2">
        <v>9.9999999999999992E-25</v>
      </c>
    </row>
    <row r="23" spans="2:18" x14ac:dyDescent="0.3">
      <c r="B23" t="s">
        <v>120</v>
      </c>
      <c r="E23" t="s">
        <v>64</v>
      </c>
      <c r="G23" s="12"/>
      <c r="K23" t="s">
        <v>43</v>
      </c>
    </row>
    <row r="24" spans="2:18" x14ac:dyDescent="0.3">
      <c r="B24" t="s">
        <v>113</v>
      </c>
      <c r="E24" t="s">
        <v>66</v>
      </c>
      <c r="G24" s="12"/>
      <c r="K24" t="s">
        <v>45</v>
      </c>
    </row>
    <row r="25" spans="2:18" x14ac:dyDescent="0.3">
      <c r="B25" t="s">
        <v>114</v>
      </c>
      <c r="E25" t="s">
        <v>67</v>
      </c>
      <c r="G25" s="124"/>
      <c r="K25" t="s">
        <v>47</v>
      </c>
      <c r="L25" t="s">
        <v>105</v>
      </c>
    </row>
    <row r="26" spans="2:18" x14ac:dyDescent="0.3">
      <c r="B26" t="s">
        <v>115</v>
      </c>
      <c r="G26" s="2"/>
      <c r="K26" t="s">
        <v>49</v>
      </c>
      <c r="L26" t="s">
        <v>132</v>
      </c>
    </row>
    <row r="27" spans="2:18" x14ac:dyDescent="0.3">
      <c r="B27" t="s">
        <v>116</v>
      </c>
      <c r="K27" t="s">
        <v>51</v>
      </c>
    </row>
    <row r="28" spans="2:18" x14ac:dyDescent="0.3">
      <c r="B28" t="s">
        <v>117</v>
      </c>
      <c r="D28" t="s">
        <v>144</v>
      </c>
      <c r="K28" t="s">
        <v>54</v>
      </c>
    </row>
    <row r="29" spans="2:18" x14ac:dyDescent="0.3">
      <c r="B29" t="s">
        <v>118</v>
      </c>
      <c r="D29" t="s">
        <v>145</v>
      </c>
      <c r="K29" t="s">
        <v>56</v>
      </c>
    </row>
    <row r="30" spans="2:18" x14ac:dyDescent="0.3">
      <c r="B30" t="s">
        <v>119</v>
      </c>
      <c r="D30" t="s">
        <v>146</v>
      </c>
      <c r="K30" t="s">
        <v>58</v>
      </c>
    </row>
    <row r="31" spans="2:18" x14ac:dyDescent="0.3">
      <c r="B31" t="s">
        <v>25</v>
      </c>
      <c r="D31" t="s">
        <v>147</v>
      </c>
      <c r="K31" t="s">
        <v>60</v>
      </c>
    </row>
    <row r="32" spans="2:18" x14ac:dyDescent="0.3">
      <c r="K32" t="s">
        <v>62</v>
      </c>
    </row>
    <row r="33" spans="2:11" x14ac:dyDescent="0.3">
      <c r="D33" t="s">
        <v>148</v>
      </c>
      <c r="K33" t="s">
        <v>64</v>
      </c>
    </row>
    <row r="34" spans="2:11" x14ac:dyDescent="0.3">
      <c r="B34" t="s">
        <v>121</v>
      </c>
      <c r="K34" t="s">
        <v>66</v>
      </c>
    </row>
    <row r="35" spans="2:11" x14ac:dyDescent="0.3">
      <c r="B35" t="s">
        <v>122</v>
      </c>
      <c r="D35" t="s">
        <v>149</v>
      </c>
      <c r="K35" t="s">
        <v>67</v>
      </c>
    </row>
    <row r="36" spans="2:11" x14ac:dyDescent="0.3">
      <c r="B36" t="s">
        <v>123</v>
      </c>
    </row>
    <row r="37" spans="2:11" x14ac:dyDescent="0.3">
      <c r="B37" t="s">
        <v>124</v>
      </c>
      <c r="D37" t="s">
        <v>150</v>
      </c>
      <c r="K37" s="79" t="s">
        <v>224</v>
      </c>
    </row>
    <row r="38" spans="2:11" x14ac:dyDescent="0.3">
      <c r="B38" t="s">
        <v>125</v>
      </c>
      <c r="D38" t="s">
        <v>151</v>
      </c>
      <c r="K38" t="s">
        <v>351</v>
      </c>
    </row>
    <row r="39" spans="2:11" x14ac:dyDescent="0.3">
      <c r="B39" t="s">
        <v>126</v>
      </c>
      <c r="D39" t="s">
        <v>152</v>
      </c>
      <c r="K39" t="s">
        <v>12</v>
      </c>
    </row>
    <row r="40" spans="2:11" x14ac:dyDescent="0.3">
      <c r="B40" t="s">
        <v>127</v>
      </c>
      <c r="K40" t="s">
        <v>17</v>
      </c>
    </row>
    <row r="41" spans="2:11" x14ac:dyDescent="0.3">
      <c r="D41" t="s">
        <v>153</v>
      </c>
      <c r="K41" t="s">
        <v>23</v>
      </c>
    </row>
    <row r="42" spans="2:11" x14ac:dyDescent="0.3">
      <c r="D42" t="s">
        <v>154</v>
      </c>
      <c r="K42" t="s">
        <v>29</v>
      </c>
    </row>
    <row r="43" spans="2:11" x14ac:dyDescent="0.3">
      <c r="D43" t="s">
        <v>155</v>
      </c>
      <c r="K43" t="s">
        <v>343</v>
      </c>
    </row>
    <row r="44" spans="2:11" x14ac:dyDescent="0.3">
      <c r="K44" t="s">
        <v>37</v>
      </c>
    </row>
    <row r="45" spans="2:11" x14ac:dyDescent="0.3">
      <c r="D45" t="s">
        <v>156</v>
      </c>
      <c r="K45" t="s">
        <v>344</v>
      </c>
    </row>
    <row r="46" spans="2:11" x14ac:dyDescent="0.3">
      <c r="D46" t="s">
        <v>157</v>
      </c>
      <c r="K46" t="s">
        <v>345</v>
      </c>
    </row>
    <row r="47" spans="2:11" x14ac:dyDescent="0.3">
      <c r="D47" t="s">
        <v>158</v>
      </c>
      <c r="K47" t="s">
        <v>346</v>
      </c>
    </row>
    <row r="48" spans="2:11" x14ac:dyDescent="0.3">
      <c r="K48" t="s">
        <v>347</v>
      </c>
    </row>
    <row r="49" spans="4:12" x14ac:dyDescent="0.3">
      <c r="D49" t="s">
        <v>159</v>
      </c>
      <c r="K49" t="s">
        <v>348</v>
      </c>
    </row>
    <row r="50" spans="4:12" x14ac:dyDescent="0.3">
      <c r="D50" t="s">
        <v>160</v>
      </c>
      <c r="K50" t="s">
        <v>52</v>
      </c>
    </row>
    <row r="51" spans="4:12" x14ac:dyDescent="0.3">
      <c r="K51" t="s">
        <v>350</v>
      </c>
    </row>
    <row r="52" spans="4:12" x14ac:dyDescent="0.3">
      <c r="D52" t="s">
        <v>161</v>
      </c>
      <c r="K52" t="s">
        <v>349</v>
      </c>
    </row>
    <row r="53" spans="4:12" x14ac:dyDescent="0.3">
      <c r="D53" t="s">
        <v>162</v>
      </c>
      <c r="K53" t="s">
        <v>133</v>
      </c>
      <c r="L53" t="s">
        <v>139</v>
      </c>
    </row>
    <row r="54" spans="4:12" x14ac:dyDescent="0.3">
      <c r="D54" t="s">
        <v>163</v>
      </c>
    </row>
    <row r="55" spans="4:12" x14ac:dyDescent="0.3">
      <c r="H55" s="77"/>
    </row>
    <row r="56" spans="4:12" x14ac:dyDescent="0.3">
      <c r="D56" t="s">
        <v>164</v>
      </c>
      <c r="H56" s="77"/>
    </row>
    <row r="57" spans="4:12" x14ac:dyDescent="0.3">
      <c r="H57" s="77"/>
    </row>
    <row r="58" spans="4:12" x14ac:dyDescent="0.3">
      <c r="D58" t="s">
        <v>165</v>
      </c>
      <c r="H58" s="77" t="s">
        <v>167</v>
      </c>
    </row>
    <row r="59" spans="4:12" x14ac:dyDescent="0.3">
      <c r="D59" t="s">
        <v>166</v>
      </c>
      <c r="H59" s="77" t="s">
        <v>169</v>
      </c>
    </row>
    <row r="60" spans="4:12" x14ac:dyDescent="0.3">
      <c r="D60" t="s">
        <v>168</v>
      </c>
      <c r="H60" s="77" t="s">
        <v>171</v>
      </c>
    </row>
    <row r="61" spans="4:12" x14ac:dyDescent="0.3">
      <c r="D61" t="s">
        <v>170</v>
      </c>
      <c r="H61" s="78" t="s">
        <v>173</v>
      </c>
    </row>
    <row r="62" spans="4:12" x14ac:dyDescent="0.3">
      <c r="D62" t="s">
        <v>172</v>
      </c>
      <c r="H62" s="77" t="s">
        <v>174</v>
      </c>
    </row>
    <row r="63" spans="4:12" x14ac:dyDescent="0.3">
      <c r="H63" s="77" t="s">
        <v>175</v>
      </c>
    </row>
    <row r="64" spans="4:12" x14ac:dyDescent="0.3">
      <c r="H64" s="77" t="s">
        <v>176</v>
      </c>
    </row>
    <row r="65" spans="4:8" x14ac:dyDescent="0.3">
      <c r="H65" s="77" t="s">
        <v>177</v>
      </c>
    </row>
    <row r="66" spans="4:8" x14ac:dyDescent="0.3">
      <c r="H66" s="77" t="s">
        <v>178</v>
      </c>
    </row>
    <row r="67" spans="4:8" x14ac:dyDescent="0.3">
      <c r="H67" s="77" t="s">
        <v>179</v>
      </c>
    </row>
    <row r="68" spans="4:8" x14ac:dyDescent="0.3">
      <c r="H68" s="77" t="s">
        <v>181</v>
      </c>
    </row>
    <row r="69" spans="4:8" x14ac:dyDescent="0.3">
      <c r="D69" t="s">
        <v>180</v>
      </c>
      <c r="H69" s="77" t="s">
        <v>183</v>
      </c>
    </row>
    <row r="70" spans="4:8" x14ac:dyDescent="0.3">
      <c r="D70" t="s">
        <v>182</v>
      </c>
      <c r="H70" s="77" t="s">
        <v>185</v>
      </c>
    </row>
    <row r="71" spans="4:8" x14ac:dyDescent="0.3">
      <c r="D71" t="s">
        <v>184</v>
      </c>
      <c r="H71" s="77" t="s">
        <v>187</v>
      </c>
    </row>
    <row r="72" spans="4:8" x14ac:dyDescent="0.3">
      <c r="D72" t="s">
        <v>186</v>
      </c>
      <c r="H72" s="77" t="s">
        <v>189</v>
      </c>
    </row>
    <row r="73" spans="4:8" x14ac:dyDescent="0.3">
      <c r="D73" t="s">
        <v>188</v>
      </c>
      <c r="H73" s="77" t="s">
        <v>191</v>
      </c>
    </row>
    <row r="74" spans="4:8" x14ac:dyDescent="0.3">
      <c r="D74" t="s">
        <v>190</v>
      </c>
      <c r="H74" s="77" t="s">
        <v>193</v>
      </c>
    </row>
    <row r="75" spans="4:8" x14ac:dyDescent="0.3">
      <c r="D75" t="s">
        <v>192</v>
      </c>
      <c r="H75" s="77" t="s">
        <v>195</v>
      </c>
    </row>
    <row r="76" spans="4:8" x14ac:dyDescent="0.3">
      <c r="D76" t="s">
        <v>194</v>
      </c>
      <c r="H76" s="77" t="s">
        <v>197</v>
      </c>
    </row>
    <row r="77" spans="4:8" x14ac:dyDescent="0.3">
      <c r="D77" t="s">
        <v>196</v>
      </c>
      <c r="H77" s="77" t="s">
        <v>199</v>
      </c>
    </row>
    <row r="78" spans="4:8" x14ac:dyDescent="0.3">
      <c r="D78" t="s">
        <v>198</v>
      </c>
      <c r="H78" s="77" t="s">
        <v>201</v>
      </c>
    </row>
    <row r="79" spans="4:8" x14ac:dyDescent="0.3">
      <c r="D79" t="s">
        <v>200</v>
      </c>
      <c r="H79" s="77" t="s">
        <v>203</v>
      </c>
    </row>
    <row r="80" spans="4:8" x14ac:dyDescent="0.3">
      <c r="D80" t="s">
        <v>202</v>
      </c>
      <c r="H80" s="77" t="s">
        <v>205</v>
      </c>
    </row>
    <row r="81" spans="4:8" x14ac:dyDescent="0.3">
      <c r="D81" t="s">
        <v>204</v>
      </c>
      <c r="H81" s="77" t="s">
        <v>206</v>
      </c>
    </row>
    <row r="82" spans="4:8" x14ac:dyDescent="0.3">
      <c r="H82" s="77" t="s">
        <v>207</v>
      </c>
    </row>
    <row r="83" spans="4:8" x14ac:dyDescent="0.3">
      <c r="H83" s="77" t="s">
        <v>208</v>
      </c>
    </row>
    <row r="84" spans="4:8" x14ac:dyDescent="0.3">
      <c r="H84" s="78" t="s">
        <v>209</v>
      </c>
    </row>
    <row r="85" spans="4:8" x14ac:dyDescent="0.3">
      <c r="H85" s="77" t="s">
        <v>210</v>
      </c>
    </row>
    <row r="86" spans="4:8" x14ac:dyDescent="0.3">
      <c r="H86" s="77" t="s">
        <v>211</v>
      </c>
    </row>
    <row r="87" spans="4:8" x14ac:dyDescent="0.3">
      <c r="H87" s="77" t="s">
        <v>212</v>
      </c>
    </row>
    <row r="88" spans="4:8" x14ac:dyDescent="0.3">
      <c r="H88" s="78" t="s">
        <v>213</v>
      </c>
    </row>
    <row r="89" spans="4:8" x14ac:dyDescent="0.3">
      <c r="H89" s="77" t="s">
        <v>214</v>
      </c>
    </row>
    <row r="90" spans="4:8" x14ac:dyDescent="0.3">
      <c r="H90" s="77" t="s">
        <v>215</v>
      </c>
    </row>
    <row r="91" spans="4:8" x14ac:dyDescent="0.3">
      <c r="H91" s="78" t="s">
        <v>216</v>
      </c>
    </row>
    <row r="92" spans="4:8" x14ac:dyDescent="0.3">
      <c r="H92" s="77" t="s">
        <v>217</v>
      </c>
    </row>
    <row r="93" spans="4:8" x14ac:dyDescent="0.3">
      <c r="H93" s="78" t="s">
        <v>218</v>
      </c>
    </row>
    <row r="94" spans="4:8" x14ac:dyDescent="0.3">
      <c r="H94" s="78" t="s">
        <v>219</v>
      </c>
    </row>
    <row r="95" spans="4:8" x14ac:dyDescent="0.3">
      <c r="H95" s="78" t="s">
        <v>220</v>
      </c>
    </row>
  </sheetData>
  <mergeCells count="2">
    <mergeCell ref="D1:N1"/>
    <mergeCell ref="Q1:R1"/>
  </mergeCells>
  <dataValidations count="2">
    <dataValidation type="list" allowBlank="1" showInputMessage="1" showErrorMessage="1" sqref="N3:N4" xr:uid="{DDD7138A-8A03-4CC0-A3D7-B8804E9D8AF1}">
      <formula1>TipoUnidad</formula1>
    </dataValidation>
    <dataValidation type="list" allowBlank="1" showInputMessage="1" showErrorMessage="1" sqref="O3" xr:uid="{8A7391F6-4290-4884-B287-B4A0EA810285}">
      <formula1>INDIRECT($N3)</formula1>
    </dataValidation>
  </dataValidations>
  <pageMargins left="0.7" right="0.7" top="0.75" bottom="0.75" header="0.3" footer="0.3"/>
  <drawing r:id="rId1"/>
  <legacyDrawing r:id="rId2"/>
  <controls>
    <mc:AlternateContent xmlns:mc="http://schemas.openxmlformats.org/markup-compatibility/2006">
      <mc:Choice Requires="x14">
        <control shapeId="5136" r:id="rId3" name="ComboBox1">
          <controlPr defaultSize="0" autoLine="0" linkedCell="O4" listFillRange="K3:L36" r:id="rId4">
            <anchor moveWithCells="1">
              <from>
                <xdr:col>14</xdr:col>
                <xdr:colOff>30480</xdr:colOff>
                <xdr:row>3</xdr:row>
                <xdr:rowOff>38100</xdr:rowOff>
              </from>
              <to>
                <xdr:col>15</xdr:col>
                <xdr:colOff>30480</xdr:colOff>
                <xdr:row>4</xdr:row>
                <xdr:rowOff>38100</xdr:rowOff>
              </to>
            </anchor>
          </controlPr>
        </control>
      </mc:Choice>
      <mc:Fallback>
        <control shapeId="5136" r:id="rId3" name="ComboBox1"/>
      </mc:Fallback>
    </mc:AlternateContent>
  </controls>
  <tableParts count="10">
    <tablePart r:id="rId5"/>
    <tablePart r:id="rId6"/>
    <tablePart r:id="rId7"/>
    <tablePart r:id="rId8"/>
    <tablePart r:id="rId9"/>
    <tablePart r:id="rId10"/>
    <tablePart r:id="rId11"/>
    <tablePart r:id="rId12"/>
    <tablePart r:id="rId13"/>
    <tablePart r:id="rId14"/>
  </tableParts>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mso-contentType ?>
<FormTemplates xmlns="http://schemas.microsoft.com/sharepoint/v3/contenttype/forms">
  <Display>DocumentLibraryForm</Display>
  <Edit>DocumentLibraryForm</Edit>
  <New>DocumentLibraryForm</New>
</FormTemplates>
</file>

<file path=customXml/item2.xml><?xml version="1.0" encoding="utf-8"?>
<p:properties xmlns:p="http://schemas.microsoft.com/office/2006/metadata/properties" xmlns:xsi="http://www.w3.org/2001/XMLSchema-instance" xmlns:pc="http://schemas.microsoft.com/office/infopath/2007/PartnerControls">
  <documentManagement>
    <TaxCatchAll xmlns="36e2f077-1d8a-4f6a-a954-0c734e4fcc31" xsi:nil="true"/>
    <lcf76f155ced4ddcb4097134ff3c332f xmlns="caef9bec-e94d-4fed-a23d-b73976401ee4">
      <Terms xmlns="http://schemas.microsoft.com/office/infopath/2007/PartnerControls"/>
    </lcf76f155ced4ddcb4097134ff3c332f>
  </documentManagement>
</p:properties>
</file>

<file path=customXml/item3.xml><?xml version="1.0" encoding="utf-8"?>
<ct:contentTypeSchema xmlns:ct="http://schemas.microsoft.com/office/2006/metadata/contentType" xmlns:ma="http://schemas.microsoft.com/office/2006/metadata/properties/metaAttributes" ct:_="" ma:_="" ma:contentTypeName="Documento" ma:contentTypeID="0x0101001020191451E52840A66ED4A50592008F" ma:contentTypeVersion="11" ma:contentTypeDescription="Crear nuevo documento." ma:contentTypeScope="" ma:versionID="6823aa818f497cf833a22cd12103b840">
  <xsd:schema xmlns:xsd="http://www.w3.org/2001/XMLSchema" xmlns:xs="http://www.w3.org/2001/XMLSchema" xmlns:p="http://schemas.microsoft.com/office/2006/metadata/properties" xmlns:ns2="caef9bec-e94d-4fed-a23d-b73976401ee4" xmlns:ns3="36e2f077-1d8a-4f6a-a954-0c734e4fcc31" targetNamespace="http://schemas.microsoft.com/office/2006/metadata/properties" ma:root="true" ma:fieldsID="10ac7d7f029bd7b4b32d0e32a6046ce6" ns2:_="" ns3:_="">
    <xsd:import namespace="caef9bec-e94d-4fed-a23d-b73976401ee4"/>
    <xsd:import namespace="36e2f077-1d8a-4f6a-a954-0c734e4fcc31"/>
    <xsd:element name="properties">
      <xsd:complexType>
        <xsd:sequence>
          <xsd:element name="documentManagement">
            <xsd:complexType>
              <xsd:all>
                <xsd:element ref="ns2:MediaServiceMetadata" minOccurs="0"/>
                <xsd:element ref="ns2:MediaServiceFastMetadata" minOccurs="0"/>
                <xsd:element ref="ns2:lcf76f155ced4ddcb4097134ff3c332f" minOccurs="0"/>
                <xsd:element ref="ns3:TaxCatchAll" minOccurs="0"/>
                <xsd:element ref="ns2:MediaServiceOCR" minOccurs="0"/>
                <xsd:element ref="ns2:MediaServiceGenerationTime" minOccurs="0"/>
                <xsd:element ref="ns2:MediaServiceEventHashCode" minOccurs="0"/>
                <xsd:element ref="ns2:MediaServiceObjectDetectorVersions" minOccurs="0"/>
                <xsd:element ref="ns2:MediaServiceSearchProperties" minOccurs="0"/>
                <xsd:element ref="ns2:MediaServiceDateTaken"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aef9bec-e94d-4fed-a23d-b73976401ee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lcf76f155ced4ddcb4097134ff3c332f" ma:index="11" nillable="true" ma:taxonomy="true" ma:internalName="lcf76f155ced4ddcb4097134ff3c332f" ma:taxonomyFieldName="MediaServiceImageTags" ma:displayName="Etiquetas de imagen" ma:readOnly="false" ma:fieldId="{5cf76f15-5ced-4ddc-b409-7134ff3c332f}" ma:taxonomyMulti="true" ma:sspId="7be11a2a-a658-4252-8c31-9e71e607d7d6" ma:termSetId="09814cd3-568e-fe90-9814-8d621ff8fb84" ma:anchorId="fba54fb3-c3e1-fe81-a776-ca4b69148c4d" ma:open="true" ma:isKeyword="false">
      <xsd:complexType>
        <xsd:sequence>
          <xsd:element ref="pc:Terms" minOccurs="0" maxOccurs="1"/>
        </xsd:sequence>
      </xsd:complexType>
    </xsd:element>
    <xsd:element name="MediaServiceOCR" ma:index="13" nillable="true" ma:displayName="Extracted Text" ma:internalName="MediaServiceOCR" ma:readOnly="true">
      <xsd:simpleType>
        <xsd:restriction base="dms:Note">
          <xsd:maxLength value="255"/>
        </xsd:restriction>
      </xsd:simpleType>
    </xsd:element>
    <xsd:element name="MediaServiceGenerationTime" ma:index="14" nillable="true" ma:displayName="MediaServiceGenerationTime" ma:hidden="true" ma:internalName="MediaServiceGenerationTime" ma:readOnly="true">
      <xsd:simpleType>
        <xsd:restriction base="dms:Text"/>
      </xsd:simpleType>
    </xsd:element>
    <xsd:element name="MediaServiceEventHashCode" ma:index="15" nillable="true" ma:displayName="MediaServiceEventHashCode" ma:hidden="true" ma:internalName="MediaServiceEventHashCode" ma:readOnly="true">
      <xsd:simpleType>
        <xsd:restriction base="dms:Text"/>
      </xsd:simpleType>
    </xsd:element>
    <xsd:element name="MediaServiceObjectDetectorVersions" ma:index="16" nillable="true" ma:displayName="MediaServiceObjectDetectorVersions" ma:hidden="true" ma:indexed="true" ma:internalName="MediaServiceObjectDetectorVersions" ma:readOnly="true">
      <xsd:simpleType>
        <xsd:restriction base="dms:Text"/>
      </xsd:simpleType>
    </xsd:element>
    <xsd:element name="MediaServiceSearchProperties" ma:index="17" nillable="true" ma:displayName="MediaServiceSearchProperties" ma:hidden="true" ma:internalName="MediaServiceSearchProperties" ma:readOnly="true">
      <xsd:simpleType>
        <xsd:restriction base="dms:Note"/>
      </xsd:simpleType>
    </xsd:element>
    <xsd:element name="MediaServiceDateTaken" ma:index="18" nillable="true" ma:displayName="MediaServiceDateTaken" ma:hidden="true" ma:indexed="true" ma:internalName="MediaServiceDateTaken" ma:readOnly="true">
      <xsd:simpleType>
        <xsd:restriction base="dms:Text"/>
      </xsd:simpleType>
    </xsd:element>
  </xsd:schema>
  <xsd:schema xmlns:xsd="http://www.w3.org/2001/XMLSchema" xmlns:xs="http://www.w3.org/2001/XMLSchema" xmlns:dms="http://schemas.microsoft.com/office/2006/documentManagement/types" xmlns:pc="http://schemas.microsoft.com/office/infopath/2007/PartnerControls" targetNamespace="36e2f077-1d8a-4f6a-a954-0c734e4fcc31" elementFormDefault="qualified">
    <xsd:import namespace="http://schemas.microsoft.com/office/2006/documentManagement/types"/>
    <xsd:import namespace="http://schemas.microsoft.com/office/infopath/2007/PartnerControls"/>
    <xsd:element name="TaxCatchAll" ma:index="12" nillable="true" ma:displayName="Taxonomy Catch All Column" ma:hidden="true" ma:list="{701fff32-02da-465e-9b18-da105fca80e3}" ma:internalName="TaxCatchAll" ma:showField="CatchAllData" ma:web="36e2f077-1d8a-4f6a-a954-0c734e4fcc31">
      <xsd:complexType>
        <xsd:complexContent>
          <xsd:extension base="dms:MultiChoiceLookup">
            <xsd:sequence>
              <xsd:element name="Value" type="dms:Lookup" maxOccurs="unbounded" minOccurs="0" nillable="true"/>
            </xsd:sequence>
          </xsd:extension>
        </xsd:complexContent>
      </xsd:complex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Tipo de contenido"/>
        <xsd:element ref="dc:title" minOccurs="0" maxOccurs="1" ma:index="4" ma:displayName="Título"/>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Props1.xml><?xml version="1.0" encoding="utf-8"?>
<ds:datastoreItem xmlns:ds="http://schemas.openxmlformats.org/officeDocument/2006/customXml" ds:itemID="{7E24457A-DD61-47CF-9815-6E13DF3B990D}">
  <ds:schemaRefs>
    <ds:schemaRef ds:uri="http://schemas.microsoft.com/sharepoint/v3/contenttype/forms"/>
  </ds:schemaRefs>
</ds:datastoreItem>
</file>

<file path=customXml/itemProps2.xml><?xml version="1.0" encoding="utf-8"?>
<ds:datastoreItem xmlns:ds="http://schemas.openxmlformats.org/officeDocument/2006/customXml" ds:itemID="{2DE0DD70-40F4-47CD-8E25-2F0094963A86}">
  <ds:schemaRefs>
    <ds:schemaRef ds:uri="http://schemas.microsoft.com/office/2006/metadata/properties"/>
    <ds:schemaRef ds:uri="http://www.w3.org/XML/1998/namespace"/>
    <ds:schemaRef ds:uri="http://schemas.microsoft.com/office/infopath/2007/PartnerControls"/>
    <ds:schemaRef ds:uri="http://schemas.openxmlformats.org/package/2006/metadata/core-properties"/>
    <ds:schemaRef ds:uri="http://purl.org/dc/dcmitype/"/>
    <ds:schemaRef ds:uri="http://purl.org/dc/elements/1.1/"/>
    <ds:schemaRef ds:uri="http://schemas.microsoft.com/office/2006/documentManagement/types"/>
    <ds:schemaRef ds:uri="36e2f077-1d8a-4f6a-a954-0c734e4fcc31"/>
    <ds:schemaRef ds:uri="caef9bec-e94d-4fed-a23d-b73976401ee4"/>
    <ds:schemaRef ds:uri="http://purl.org/dc/terms/"/>
  </ds:schemaRefs>
</ds:datastoreItem>
</file>

<file path=customXml/itemProps3.xml><?xml version="1.0" encoding="utf-8"?>
<ds:datastoreItem xmlns:ds="http://schemas.openxmlformats.org/officeDocument/2006/customXml" ds:itemID="{7FE469FA-0EDE-4346-AB44-07161DA02A84}">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caef9bec-e94d-4fed-a23d-b73976401ee4"/>
    <ds:schemaRef ds:uri="36e2f077-1d8a-4f6a-a954-0c734e4fcc31"/>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Worksheets</vt:lpstr>
      </vt:variant>
      <vt:variant>
        <vt:i4>6</vt:i4>
      </vt:variant>
      <vt:variant>
        <vt:lpstr>Named Ranges</vt:lpstr>
      </vt:variant>
      <vt:variant>
        <vt:i4>8</vt:i4>
      </vt:variant>
    </vt:vector>
  </HeadingPairs>
  <TitlesOfParts>
    <vt:vector size="14" baseType="lpstr">
      <vt:lpstr>UsedMethods</vt:lpstr>
      <vt:lpstr>measuringEquipments</vt:lpstr>
      <vt:lpstr>influenceConditions</vt:lpstr>
      <vt:lpstr>results</vt:lpstr>
      <vt:lpstr>PTB</vt:lpstr>
      <vt:lpstr>Tablas</vt:lpstr>
      <vt:lpstr>Base</vt:lpstr>
      <vt:lpstr>base_platino</vt:lpstr>
      <vt:lpstr>Derived</vt:lpstr>
      <vt:lpstr>derived_platino</vt:lpstr>
      <vt:lpstr>ISSUER</vt:lpstr>
      <vt:lpstr>non_SI</vt:lpstr>
      <vt:lpstr>non_SI_Platino</vt:lpstr>
      <vt:lpstr>TipoUnidad</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Jose Armando Lopez Celis</dc:creator>
  <cp:lastModifiedBy>Jose Armando Lopez Celis</cp:lastModifiedBy>
  <dcterms:created xsi:type="dcterms:W3CDTF">2014-08-20T16:05:07Z</dcterms:created>
  <dcterms:modified xsi:type="dcterms:W3CDTF">2025-02-17T21:11:21Z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0x0101001020191451E52840A66ED4A50592008F</vt:lpwstr>
  </property>
  <property fmtid="{D5CDD505-2E9C-101B-9397-08002B2CF9AE}" pid="3" name="MediaServiceImageTags">
    <vt:lpwstr/>
  </property>
</Properties>
</file>